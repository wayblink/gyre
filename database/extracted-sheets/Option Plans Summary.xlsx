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ption Plans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3">
    <numFmt numFmtId="41" formatCode="_(* #,##0_);_(* \(#,##0\);_(* &quot;-&quot;_);_(@_)"/>
    <numFmt numFmtId="43" formatCode="_(* #,##0.00_);_(* \(#,##0.00\);_(* &quot;-&quot;??_);_(@_)"/>
    <numFmt numFmtId="44" formatCode="_(&quot;$&quot;* #,##0.00_);_(&quot;$&quot;* \(#,##0.00\);_(&quot;$&quot;* &quot;-&quot;??_);_(@_)"/>
    <numFmt numFmtId="56" formatCode="&quot;上午/下午 &quot;hh&quot;時&quot;mm&quot;分&quot;ss&quot;秒 &quot;"/>
    <numFmt numFmtId="164" formatCode="_-* #,##0.00_-;\-* #,##0.00_-;_-* &quot;-&quot;??_-;_-@_-"/>
    <numFmt numFmtId="165" formatCode="_(&quot;$&quot;* #,##0_);_(&quot;$&quot;* \(#,##0\);_(&quot;$&quot;* &quot;-&quot;??_);_(@_)"/>
    <numFmt numFmtId="166" formatCode="_(* #,##0_);_(* \(#,##0\);_(* &quot;-&quot;??_);_(@_)"/>
    <numFmt numFmtId="167" formatCode="0.000%"/>
    <numFmt numFmtId="168" formatCode="mm/dd/yyyy"/>
    <numFmt numFmtId="169" formatCode="dd\-mmm\-yyyy"/>
    <numFmt numFmtId="170" formatCode="#,###,###,###,###,###,###,###,###,###,###,###,###,###,###,###,###,###,###,###,###,###,###,###,###,###,###,###,###,###,###,###,###,##0"/>
    <numFmt numFmtId="171" formatCode="&quot;$&quot;#,###,###,###,###,###,###,###,###,###,###,###,###,###,###,###,###,###,###,###,###,###,###,###,###,###,###,###,###,###,###,###,###,##0.00####"/>
    <numFmt numFmtId="172" formatCode="[$-409]mmmm\ d\,\ yyyy;@"/>
    <numFmt numFmtId="173" formatCode="#,##0.000;[Red]\(#,##0.000\)"/>
    <numFmt numFmtId="174" formatCode="0.0%"/>
    <numFmt numFmtId="175" formatCode="_(* #,##0.000_);_(* \(#,##0.000\);_(* &quot;-&quot;???_);_(@_)"/>
    <numFmt numFmtId="176" formatCode="#,##0;[Red]\(#,##0\)"/>
    <numFmt numFmtId="177" formatCode="_-* #,##0.000_-;\-* #,##0.000_-;_-* &quot;-&quot;???_-;_-@_-"/>
    <numFmt numFmtId="178" formatCode="_(* #,##0.0000_);_(* \(#,##0.0000\);_(* &quot;-&quot;??_);_(@_)"/>
    <numFmt numFmtId="179" formatCode="\&lt;0.00\1;[Red]\&lt;\(0.00\1\);0.000"/>
    <numFmt numFmtId="180" formatCode="#,##0.00;[Red]\(#,##0.00\)"/>
    <numFmt numFmtId="181" formatCode="\&lt;0.0\1;[Red]\&lt;\(0.0\1\);0.00"/>
    <numFmt numFmtId="182" formatCode="_ * #,##0_ ;_ * \-#,##0_ ;_ * &quot;-&quot;??_ ;_ @_ "/>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NumberFormat="1"/>
    <xf numFmtId="170" fontId="0" fillId="0" borderId="0" xfId="0" applyNumberFormat="1"/>
    <xf numFmtId="166" fontId="0" fillId="0" borderId="0" xfId="0" applyNumberFormat="1"/>
    <xf numFmtId="3" fontId="0" fillId="0" borderId="0" xfId="0" applyNumberFormat="1"/>
    <xf numFmtId="43"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2"/>
  <sheetViews>
    <sheetView workbookViewId="0"/>
  </sheetViews>
  <sheetData>
    <row r="1">
      <c r="A1" t="str">
        <v>Gyre Therapeutics, Inc. - !Option Plans Summary (Post-Gyre Merger &amp; Reverse Split 10/31/2023) (report run on 13-May-2026 for reporting period 30-Apr-2026)</v>
      </c>
    </row>
    <row r="2">
      <c r="A2" t="str">
        <v>Plan Name</v>
      </c>
      <c r="B2" t="str">
        <v>Outstanding Calc.</v>
      </c>
      <c r="C2" t="str">
        <v>Options Outstanding</v>
      </c>
      <c r="D2" t="str">
        <v>Available Shares in Pool</v>
      </c>
      <c r="E2" t="str">
        <v>Avail + OS</v>
      </c>
      <c r="G2" t="str">
        <v>Details report</v>
      </c>
      <c r="H2" t="str">
        <v>Check</v>
      </c>
      <c r="I2" t="str">
        <v>Share pools</v>
      </c>
    </row>
    <row r="3">
      <c r="A3" t="str">
        <v>Reserved: 8,972,648, Share Pool: 2023 Omnibus Incentive Plan</v>
      </c>
      <c r="I3" t="str">
        <v>2023 Omnibus Plan Pool</v>
      </c>
    </row>
    <row r="4">
      <c r="A4" t="str">
        <v>GYRE 2025 BC Subplan</v>
      </c>
      <c r="I4" t="str">
        <v>Unallocated (Shares available)</v>
      </c>
    </row>
    <row r="5">
      <c r="A5" t="str">
        <v>Granted</v>
      </c>
      <c r="B5" s="1">
        <v>2100000</v>
      </c>
      <c r="I5" t="str">
        <v/>
      </c>
      <c r="J5" t="str">
        <v>Initial Pool</v>
      </c>
      <c r="K5" t="str">
        <v/>
      </c>
      <c r="L5" s="2">
        <v>827490</v>
      </c>
    </row>
    <row r="6">
      <c r="A6" t="str">
        <v>Exercised</v>
      </c>
      <c r="B6" s="1">
        <v>0</v>
      </c>
      <c r="I6" t="str">
        <v/>
      </c>
      <c r="J6" t="str">
        <v>Annual 5% Evergreen (confirmed by C. Johnson @Gibson Dunn 1/5/2024)</v>
      </c>
      <c r="K6" t="str">
        <v/>
      </c>
      <c r="L6" s="2">
        <v>3829780</v>
      </c>
      <c r="N6" t="str">
        <v>*Subject to annual approval</v>
      </c>
    </row>
    <row r="7">
      <c r="A7" t="str">
        <v>Repurchased</v>
      </c>
      <c r="B7" s="1">
        <v>0</v>
      </c>
      <c r="I7" t="str">
        <v/>
      </c>
      <c r="J7" t="str">
        <v>reconcile post-split to SEC filings</v>
      </c>
      <c r="K7" t="str">
        <v/>
      </c>
      <c r="L7" s="2">
        <v>1</v>
      </c>
    </row>
    <row r="8">
      <c r="A8" t="str">
        <v>Cancelled</v>
      </c>
      <c r="B8" s="1">
        <f>+'2025 BC Subplan Transfer (2)'!AH460</f>
        <v>-28170</v>
      </c>
      <c r="J8" t="str">
        <v>Sharepool increase per 3/20/25 gyre officer certificate</v>
      </c>
      <c r="L8" s="3">
        <v>4315377</v>
      </c>
    </row>
    <row r="9">
      <c r="A9" t="str">
        <v>Awards Outstanding</v>
      </c>
      <c r="C9" s="1">
        <f>+B5+B8</f>
        <v>2071830</v>
      </c>
      <c r="D9" s="1">
        <v>0</v>
      </c>
      <c r="E9" s="1">
        <f>SUM(C9:D9)</f>
        <v>2071830</v>
      </c>
      <c r="G9" s="4">
        <f>'Options OS Detail'!AB4</f>
        <v>2100000</v>
      </c>
      <c r="H9" s="5">
        <f>C9-G9</f>
        <v>-28170</v>
      </c>
      <c r="I9" t="str">
        <v>less</v>
      </c>
      <c r="J9" t="str">
        <v>Outstanding</v>
      </c>
      <c r="K9" t="str">
        <v>Option Award (NQ) - Gyre Therapeutics, Inc.</v>
      </c>
      <c r="L9" s="3">
        <v>-5083369</v>
      </c>
    </row>
    <row r="10">
      <c r="C10" s="1">
        <f>SUM(C9)</f>
        <v>2071830</v>
      </c>
      <c r="D10" s="1">
        <f>SUM(D9)</f>
        <v>0</v>
      </c>
      <c r="E10" s="1">
        <f>SUM(E9)</f>
        <v>2071830</v>
      </c>
      <c r="H10" t="str">
        <v>*difference is due to forfeitures from "2025 BC Subplan Transfer" tab/</v>
      </c>
      <c r="I10" t="str">
        <v/>
      </c>
      <c r="J10" t="str">
        <v>Exercises/Releases</v>
      </c>
      <c r="K10" t="str">
        <v>Option Award (NQ) - Gyre Therapeutics, Inc.</v>
      </c>
      <c r="L10" s="3">
        <v>-250049</v>
      </c>
    </row>
    <row r="11">
      <c r="I11" t="str">
        <v/>
      </c>
      <c r="J11" t="str">
        <v/>
      </c>
      <c r="K11" t="str">
        <v/>
      </c>
    </row>
    <row r="12">
      <c r="I12" t="str">
        <v/>
      </c>
      <c r="J12" t="str">
        <v>Unallocated</v>
      </c>
      <c r="K12" t="str">
        <v/>
      </c>
      <c r="L12" s="2">
        <v>3639230</v>
      </c>
    </row>
    <row r="13">
      <c r="A13" t="str">
        <v>GYRE 2023 Omnibus Incentive Plan</v>
      </c>
    </row>
    <row r="14">
      <c r="A14" t="str">
        <v>Granted</v>
      </c>
      <c r="B14" s="1">
        <v>3668418</v>
      </c>
    </row>
    <row r="15">
      <c r="A15" t="str">
        <v>Exercised</v>
      </c>
      <c r="B15" s="1">
        <v>-250049</v>
      </c>
      <c r="I15" t="str">
        <v>2023 Non-China BCI grants</v>
      </c>
    </row>
    <row r="16">
      <c r="A16" t="str">
        <v>Repurchased</v>
      </c>
      <c r="B16" s="1">
        <v>0</v>
      </c>
      <c r="I16" t="str">
        <v>Unallocated (Shares available)</v>
      </c>
    </row>
    <row r="17">
      <c r="A17" t="str">
        <v>Cancelled</v>
      </c>
      <c r="B17" s="1">
        <v>-435000</v>
      </c>
      <c r="I17" t="str">
        <v/>
      </c>
      <c r="J17" t="str">
        <v>Initial Pool</v>
      </c>
      <c r="K17" t="str">
        <v/>
      </c>
      <c r="L17" s="2">
        <v>4099854</v>
      </c>
    </row>
    <row r="18">
      <c r="A18" t="str">
        <v>Awards Outstanding</v>
      </c>
      <c r="C18" s="1">
        <v>2983369</v>
      </c>
      <c r="I18" t="str">
        <v/>
      </c>
      <c r="J18" t="str">
        <v>Covers Lan Ping BCI grant</v>
      </c>
      <c r="K18" t="str">
        <v/>
      </c>
      <c r="L18" s="2">
        <v>2262755</v>
      </c>
    </row>
    <row r="19">
      <c r="A19" t="str">
        <v/>
      </c>
      <c r="I19" t="str">
        <v/>
      </c>
      <c r="J19" t="str">
        <v>Options moved from BCI/Futu to SW: Ma, Weiguo, Lin</v>
      </c>
      <c r="K19" t="str">
        <v/>
      </c>
      <c r="L19" s="2">
        <v>2840000</v>
      </c>
    </row>
    <row r="20">
      <c r="A20" t="str">
        <v>Shares Remaining For Issuance</v>
      </c>
      <c r="C20" s="1">
        <v>0</v>
      </c>
      <c r="D20" s="1">
        <v>3639230</v>
      </c>
      <c r="I20" t="str">
        <v>less</v>
      </c>
      <c r="J20" t="str">
        <v>Outstanding</v>
      </c>
      <c r="K20" t="str">
        <v>Option Award (NQ) - Gyre Therapeutics, Inc.</v>
      </c>
      <c r="L20" s="3">
        <v>-9002192</v>
      </c>
    </row>
    <row r="21">
      <c r="A21" t="str">
        <v>Awards Outstanding + Shares Remaining for Issuance</v>
      </c>
      <c r="C21" s="1">
        <f>SUM(C18:C20)</f>
        <v>2983369</v>
      </c>
      <c r="D21" s="1">
        <f>SUM(D18:D20)</f>
        <v>3639230</v>
      </c>
      <c r="E21" s="1">
        <f>SUM(C21:D21)</f>
        <v>6622599</v>
      </c>
      <c r="G21" s="2">
        <f>'Options OS Detail'!AB43</f>
        <v>3233369</v>
      </c>
      <c r="H21" s="5">
        <f>C21-G21</f>
        <v>-250000</v>
      </c>
      <c r="I21" t="str">
        <v/>
      </c>
      <c r="J21" t="str">
        <v>Exercises/Releases</v>
      </c>
      <c r="K21" t="str">
        <v>Option Award (NQ) - Gyre Therapeutics, Inc.</v>
      </c>
      <c r="L21" s="3">
        <v>-200417</v>
      </c>
    </row>
    <row r="22">
      <c r="I22" t="str">
        <v/>
      </c>
      <c r="J22" t="str">
        <v/>
      </c>
      <c r="K22" t="str">
        <v/>
      </c>
    </row>
    <row r="23">
      <c r="I23" t="str">
        <v/>
      </c>
      <c r="J23" t="str">
        <v>Unallocated</v>
      </c>
      <c r="K23" t="str">
        <v/>
      </c>
      <c r="L23" s="2">
        <v>0</v>
      </c>
    </row>
    <row r="24">
      <c r="A24" t="str">
        <v>Reserved: 0, Share Pool: 2023 China Subplan</v>
      </c>
    </row>
    <row r="25">
      <c r="A25" t="str">
        <v>GYRE 2023 China Subplan (Plan exhausted)</v>
      </c>
      <c r="I25" t="str">
        <v>2023 China Subplan</v>
      </c>
    </row>
    <row r="26">
      <c r="A26" t="str">
        <v>Granted</v>
      </c>
      <c r="B26" s="1">
        <v>0</v>
      </c>
      <c r="I26" t="str">
        <v>Unallocated (Shares available)</v>
      </c>
    </row>
    <row r="27">
      <c r="A27" t="str">
        <v>Exercised</v>
      </c>
      <c r="B27" s="1">
        <v>0</v>
      </c>
      <c r="I27" t="str">
        <v/>
      </c>
      <c r="J27" t="str">
        <v>Initial Pool</v>
      </c>
      <c r="K27" t="str">
        <v/>
      </c>
      <c r="L27" s="2">
        <v>17018005</v>
      </c>
    </row>
    <row r="28">
      <c r="A28" t="str">
        <v>Repurchased</v>
      </c>
      <c r="B28" s="1">
        <v>0</v>
      </c>
      <c r="I28" t="str">
        <v/>
      </c>
      <c r="J28" t="str">
        <v>Moved Lan Ping non-China BCI grant from China Subplan to GYRE 2023 Non-China BCI grants share pool</v>
      </c>
      <c r="L28" s="2">
        <v>-2262755</v>
      </c>
    </row>
    <row r="29">
      <c r="A29" t="str">
        <v>Cancelled</v>
      </c>
      <c r="B29" s="1">
        <v>0</v>
      </c>
      <c r="I29" t="str">
        <v/>
      </c>
      <c r="J29" t="str">
        <v>Moved shares from BCI Futu account to Shareworks for S. Ma, H. Lin, and W. Ye</v>
      </c>
      <c r="L29" s="2">
        <v>-2840000</v>
      </c>
    </row>
    <row r="30">
      <c r="A30" t="str">
        <v>Awards Outstanding</v>
      </c>
      <c r="C30" s="1">
        <v>0</v>
      </c>
      <c r="D30" s="1">
        <v>0</v>
      </c>
      <c r="I30" t="str">
        <v/>
      </c>
      <c r="J30" t="str">
        <v>Shares deducted from China subplan to be issued to US-Based employees and managed in Shareworks.</v>
      </c>
      <c r="L30" s="2">
        <v>-4099854</v>
      </c>
    </row>
    <row r="31">
      <c r="A31" t="str">
        <v/>
      </c>
      <c r="I31" t="str">
        <v/>
      </c>
      <c r="J31" t="str">
        <v>SubPlan shares all issued as common stock c/o Futu to settle BCI exercises as they occur</v>
      </c>
      <c r="L31" s="2">
        <v>-7815396</v>
      </c>
    </row>
    <row r="32">
      <c r="A32" t="str">
        <v>Shares Remaining For Issuance</v>
      </c>
      <c r="C32" s="1">
        <v>0</v>
      </c>
      <c r="D32" s="1">
        <v>0</v>
      </c>
      <c r="I32" t="str">
        <v/>
      </c>
      <c r="J32" t="str">
        <v/>
      </c>
      <c r="K32" t="str">
        <v/>
      </c>
    </row>
    <row r="33">
      <c r="A33" t="str">
        <v>Awards Outstanding + Shares Remaining for Issuance</v>
      </c>
      <c r="C33" s="1">
        <f>SUM(C30)</f>
        <v>0</v>
      </c>
      <c r="D33" s="1">
        <v>0</v>
      </c>
      <c r="E33" s="1">
        <f>SUM(C33:D33)</f>
        <v>0</v>
      </c>
      <c r="I33" t="str">
        <v/>
      </c>
      <c r="J33" t="str">
        <v>Unallocated</v>
      </c>
      <c r="K33" t="str">
        <v/>
      </c>
      <c r="L33" s="2">
        <v>0</v>
      </c>
    </row>
    <row r="34" xml:space="preserve">
      <c r="J34" t="str" xml:space="preserve">
        <v xml:space="preserve">FUTU SHARES_x000d_
On 7/26/2024, the company issued 7.8m shares of common stock to Futu Network Technology Limited (the Hong Kong manager for BCI options) which is the entire share pool for the BCI options.  Futu will distribute the shares directly to people who exercise BCI options.</v>
      </c>
    </row>
    <row r="35">
      <c r="A35" t="str">
        <v/>
      </c>
    </row>
    <row r="36">
      <c r="A36" t="str">
        <v>Reserved: 9,202,609, Share Pool: GYRE 2023 Non-China BCI grants</v>
      </c>
    </row>
    <row r="37">
      <c r="A37" t="str">
        <v>GYRE 2023 Non-China BCI grants</v>
      </c>
    </row>
    <row r="38">
      <c r="A38" t="str">
        <v>Granted</v>
      </c>
      <c r="B38" s="1">
        <v>9202609</v>
      </c>
    </row>
    <row r="39">
      <c r="A39" t="str">
        <v>Exercised</v>
      </c>
      <c r="B39" s="1">
        <v>-210417</v>
      </c>
    </row>
    <row r="40">
      <c r="A40" t="str">
        <v>Repurchased</v>
      </c>
      <c r="B40" s="1">
        <v>0</v>
      </c>
    </row>
    <row r="41">
      <c r="A41" t="str">
        <v>Cancelled</v>
      </c>
      <c r="B41" s="1">
        <v>0</v>
      </c>
    </row>
    <row r="42">
      <c r="A42" t="str">
        <v>Awards Outstanding</v>
      </c>
      <c r="C42" s="1">
        <v>8992192</v>
      </c>
      <c r="D42" s="1">
        <v>0</v>
      </c>
    </row>
    <row r="43">
      <c r="A43" t="str">
        <v/>
      </c>
    </row>
    <row r="44">
      <c r="A44" t="str">
        <v>Shares Remaining For Issuance</v>
      </c>
      <c r="C44" s="1">
        <v>0</v>
      </c>
      <c r="D44" s="1">
        <v>0</v>
      </c>
    </row>
    <row r="45">
      <c r="A45" t="str">
        <v>Awards Outstanding + Shares Remaining for Issuance</v>
      </c>
      <c r="C45" s="1">
        <f>SUM(C42)</f>
        <v>8992192</v>
      </c>
      <c r="D45" s="1">
        <v>0</v>
      </c>
      <c r="E45" s="1">
        <f>SUM(C45:D45)</f>
        <v>8992192</v>
      </c>
      <c r="G45" s="2">
        <f>'Options OS Detail'!AB50</f>
        <v>9002192</v>
      </c>
      <c r="H45" s="5">
        <f>C45-G45</f>
        <v>-10000</v>
      </c>
    </row>
    <row r="48">
      <c r="A48" t="str">
        <v>Reserved: 1,554,874, Share Pool: 2018 Omnibus Equity Plan Share Pool</v>
      </c>
    </row>
    <row r="49">
      <c r="A49" t="str">
        <v>2018 Omnibus Incentive Plan</v>
      </c>
    </row>
    <row r="50">
      <c r="A50" t="str">
        <v>Granted</v>
      </c>
      <c r="B50" s="1">
        <v>1554874</v>
      </c>
    </row>
    <row r="51">
      <c r="A51" t="str">
        <v>Exercised</v>
      </c>
      <c r="B51" s="1">
        <v>-55238</v>
      </c>
    </row>
    <row r="52">
      <c r="A52" t="str">
        <v>Repurchased</v>
      </c>
      <c r="B52" s="1">
        <v>0</v>
      </c>
    </row>
    <row r="53">
      <c r="A53" t="str">
        <v>Cancelled</v>
      </c>
      <c r="B53" s="1">
        <v>-1313701</v>
      </c>
    </row>
    <row r="54">
      <c r="A54" t="str">
        <v>Awards Outstanding</v>
      </c>
      <c r="C54" s="1">
        <v>185935</v>
      </c>
      <c r="D54" s="1">
        <v>0</v>
      </c>
    </row>
    <row r="55">
      <c r="A55" t="str">
        <v/>
      </c>
    </row>
    <row r="56">
      <c r="A56" t="str">
        <v>Shares Remaining For Issuance</v>
      </c>
      <c r="D56" s="1">
        <v>0</v>
      </c>
    </row>
    <row r="57">
      <c r="A57" t="str">
        <v>Awards Outstanding + Shares Remaining for Issuance</v>
      </c>
      <c r="C57" s="1">
        <f>C54</f>
        <v>185935</v>
      </c>
      <c r="D57" s="1">
        <f>SUM(D56)</f>
        <v>0</v>
      </c>
      <c r="E57" s="1">
        <f>SUM(C57:D57)</f>
        <v>185935</v>
      </c>
      <c r="G57" s="2">
        <f>'Options OS Detail'!AB66</f>
        <v>185935</v>
      </c>
      <c r="H57" s="2">
        <f>+-B53+C57</f>
        <v>1499636</v>
      </c>
    </row>
    <row r="59">
      <c r="A59" t="str">
        <v/>
      </c>
    </row>
    <row r="60">
      <c r="A60" t="str">
        <v>Reserved: 359,686, Share Pool: CBIO 2015 Stock Incentive Plan Share Pool</v>
      </c>
    </row>
    <row r="61">
      <c r="A61" t="str">
        <v>CBIO 2015 Stock Incentive Plan</v>
      </c>
    </row>
    <row r="62">
      <c r="A62" t="str">
        <v>Granted</v>
      </c>
      <c r="B62" s="1">
        <v>359686</v>
      </c>
    </row>
    <row r="63">
      <c r="A63" t="str">
        <v>Exercised</v>
      </c>
      <c r="B63" s="1">
        <v>-13264</v>
      </c>
    </row>
    <row r="64">
      <c r="A64" t="str">
        <v>Repurchased</v>
      </c>
      <c r="B64" s="1">
        <v>0</v>
      </c>
    </row>
    <row r="65">
      <c r="A65" t="str">
        <v>Cancelled</v>
      </c>
      <c r="B65" s="1">
        <v>-193690</v>
      </c>
    </row>
    <row r="66">
      <c r="A66" t="str">
        <v>Awards Outstanding</v>
      </c>
      <c r="C66" s="1">
        <v>152732</v>
      </c>
      <c r="D66" s="1">
        <v>0</v>
      </c>
    </row>
    <row r="67">
      <c r="A67" t="str">
        <v/>
      </c>
    </row>
    <row r="68">
      <c r="A68" t="str">
        <v>Shares Remaining For Issuance</v>
      </c>
      <c r="C68" s="1">
        <v>0</v>
      </c>
      <c r="D68" s="1">
        <v>0</v>
      </c>
    </row>
    <row r="69">
      <c r="A69" t="str">
        <v>Awards Outstanding + Shares Remaining for Issuance</v>
      </c>
      <c r="C69" s="1">
        <f>SUM(C66:C68)</f>
        <v>152732</v>
      </c>
      <c r="D69" s="1">
        <v>0</v>
      </c>
      <c r="E69" s="1">
        <f>SUM(C69:D69)</f>
        <v>152732</v>
      </c>
      <c r="G69" s="2">
        <f>'Options OS Detail'!AB74</f>
        <v>152732</v>
      </c>
      <c r="H69" s="2">
        <f>C69-G69</f>
        <v>0</v>
      </c>
    </row>
    <row r="71">
      <c r="C71" s="1">
        <f>C69+C57+C45+C33+C21+C10</f>
        <v>14386058</v>
      </c>
      <c r="D71" s="1">
        <f>D69+D57+D33+D21+D45+D10</f>
        <v>3639230</v>
      </c>
      <c r="E71" s="1">
        <f>E69+E57+E45+E33+E21+E10</f>
        <v>18025288</v>
      </c>
    </row>
    <row r="73">
      <c r="A73" t="str">
        <v>Total shares issued and outstanding, including shares committed for issuance and reserves, assuming conversion of all convertible securities and exercise of all outstanding awards.</v>
      </c>
    </row>
    <row r="74">
      <c r="A74" t="str">
        <v>CSE Shares* - Common Stock Equivalent (CSE) shares reflects the Common Stock issuable for the security type (option, stock, warrant, notes/debt) after the appropriate conversion ratio is applied with regard to parameters set for aggregation/rounding for each class/series.</v>
      </c>
    </row>
  </sheetData>
  <mergeCells count="13">
    <mergeCell ref="A1:D1"/>
    <mergeCell ref="I2:L2"/>
    <mergeCell ref="I26:J26"/>
    <mergeCell ref="K26:L26"/>
    <mergeCell ref="I16:J16"/>
    <mergeCell ref="K16:L16"/>
    <mergeCell ref="A73:E73"/>
    <mergeCell ref="A74:E74"/>
    <mergeCell ref="I3:J3"/>
    <mergeCell ref="I4:J4"/>
    <mergeCell ref="I25:J25"/>
    <mergeCell ref="I15:J15"/>
    <mergeCell ref="J34:K37"/>
  </mergeCells>
  <pageMargins left="0.7" right="0.7" top="0.75" bottom="0.75" header="0.3" footer="0.3"/>
  <ignoredErrors>
    <ignoredError numberStoredAsText="1" sqref="A1:N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Option Plans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