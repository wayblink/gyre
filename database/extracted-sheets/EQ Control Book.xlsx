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 Control 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&quot;$&quot;* #,##0_);_(&quot;$&quot;* \(#,##0\);_(&quot;$&quot;* &quot;-&quot;??_);_(@_)"/>
    <numFmt numFmtId="166" formatCode="_(* #,##0_);_(* \(#,##0\);_(* &quot;-&quot;??_);_(@_)"/>
    <numFmt numFmtId="167" formatCode="0.000%"/>
    <numFmt numFmtId="168" formatCode="mm/dd/yyyy"/>
    <numFmt numFmtId="169" formatCode="dd\-mmm\-yyyy"/>
    <numFmt numFmtId="170" formatCode="#,###,###,###,###,###,###,###,###,###,###,###,###,###,###,###,###,###,###,###,###,###,###,###,###,###,###,###,###,###,###,###,###,##0"/>
    <numFmt numFmtId="171" formatCode="&quot;$&quot;#,###,###,###,###,###,###,###,###,###,###,###,###,###,###,###,###,###,###,###,###,###,###,###,###,###,###,###,###,###,###,###,###,##0.00####"/>
    <numFmt numFmtId="172" formatCode="[$-409]mmmm\ d\,\ yyyy;@"/>
    <numFmt numFmtId="173" formatCode="#,##0.000;[Red]\(#,##0.000\)"/>
    <numFmt numFmtId="174" formatCode="0.0%"/>
    <numFmt numFmtId="175" formatCode="_(* #,##0.000_);_(* \(#,##0.000\);_(* &quot;-&quot;???_);_(@_)"/>
    <numFmt numFmtId="176" formatCode="#,##0;[Red]\(#,##0\)"/>
    <numFmt numFmtId="177" formatCode="_-* #,##0.000_-;\-* #,##0.000_-;_-* &quot;-&quot;???_-;_-@_-"/>
    <numFmt numFmtId="178" formatCode="_(* #,##0.0000_);_(* \(#,##0.0000\);_(* &quot;-&quot;??_);_(@_)"/>
    <numFmt numFmtId="179" formatCode="\&lt;0.00\1;[Red]\&lt;\(0.00\1\);0.000"/>
    <numFmt numFmtId="180" formatCode="#,##0.00;[Red]\(#,##0.00\)"/>
    <numFmt numFmtId="181" formatCode="\&lt;0.0\1;[Red]\&lt;\(0.0\1\);0.00"/>
    <numFmt numFmtId="182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6" fontId="0" fillId="0" borderId="0" xfId="0" applyNumberFormat="1"/>
    <xf numFmtId="43" fontId="0" fillId="0" borderId="0" xfId="0" applyNumberFormat="1"/>
    <xf numFmtId="169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sheetData>
    <row r="1">
      <c r="A1" t="str">
        <v>EQUINITI CONTROL BOOK DETAIL</v>
      </c>
    </row>
    <row r="2">
      <c r="A2" t="str">
        <v>Issuer Name: GYRE THERAPEUTICS, INC.</v>
      </c>
    </row>
    <row r="3">
      <c r="A3" t="str">
        <v>Security Name: GYRE THERAPEUTICS INC (NEW)</v>
      </c>
    </row>
    <row r="4">
      <c r="A4" t="str">
        <v>Control Books</v>
      </c>
    </row>
    <row r="5">
      <c r="A5" t="str">
        <v>Report Date &amp; Time: 13-May-2026 16:52</v>
      </c>
    </row>
    <row r="6">
      <c r="A6" t="str">
        <v>01-Apr-2026 to 30-Apr-2026</v>
      </c>
    </row>
    <row r="7">
      <c r="A7" t="str">
        <v>Records: 1</v>
      </c>
    </row>
    <row r="8">
      <c r="A8" t="str">
        <v>Balance Prior to 24-Apr-2026: 96,994,001.000</v>
      </c>
      <c r="J8" s="1">
        <f>J122</f>
        <v>97028322</v>
      </c>
    </row>
    <row r="9">
      <c r="A9" t="str">
        <v>Security ID</v>
      </c>
      <c r="B9" t="str">
        <v>Security</v>
      </c>
      <c r="C9" t="str">
        <v>As of Date</v>
      </c>
      <c r="D9" t="str">
        <v>Process Date</v>
      </c>
      <c r="E9" t="str">
        <v>Trans. Type</v>
      </c>
      <c r="F9" t="str">
        <v>Trans. No.</v>
      </c>
      <c r="G9" t="str">
        <v>Broker No.</v>
      </c>
      <c r="H9" s="1" t="str">
        <v>Shares Issued</v>
      </c>
      <c r="I9" s="2" t="str">
        <v>Shares Retired</v>
      </c>
      <c r="J9" s="1" t="str">
        <v>Issued &amp; Outstanding</v>
      </c>
      <c r="K9" t="str">
        <v>Comment</v>
      </c>
      <c r="L9" t="str">
        <v>Net Shares issued in Period</v>
      </c>
    </row>
    <row r="10">
      <c r="A10" t="str">
        <v>27591</v>
      </c>
      <c r="B10" t="str">
        <v>GYRE</v>
      </c>
      <c r="C10" s="3">
        <v>45229</v>
      </c>
      <c r="D10" s="3">
        <v>45230</v>
      </c>
      <c r="E10" t="str">
        <v>Agreement</v>
      </c>
      <c r="F10" t="str">
        <v>-</v>
      </c>
      <c r="G10" t="str">
        <v>-</v>
      </c>
      <c r="H10" s="1">
        <v>71211370</v>
      </c>
      <c r="I10" s="2">
        <v>0</v>
      </c>
      <c r="J10" s="1">
        <v>71211370</v>
      </c>
      <c r="K10" t="str">
        <v>Issues to 4 China SH</v>
      </c>
    </row>
    <row r="11">
      <c r="A11" t="str">
        <v>27591</v>
      </c>
      <c r="B11" t="str">
        <v>GYRE</v>
      </c>
      <c r="C11" s="3">
        <v>45229</v>
      </c>
      <c r="D11" s="3">
        <v>45246</v>
      </c>
      <c r="E11" t="str">
        <v>Agreement</v>
      </c>
      <c r="F11" t="str">
        <v>-</v>
      </c>
      <c r="G11" t="str">
        <v>-</v>
      </c>
      <c r="H11" s="1">
        <v>2840376</v>
      </c>
      <c r="I11" s="2">
        <v>0</v>
      </c>
      <c r="J11" s="1">
        <v>74051746</v>
      </c>
      <c r="K11" t="str">
        <v>Lan Ping per 11/16/2023 TA inst ltr</v>
      </c>
    </row>
    <row r="12">
      <c r="A12" t="str">
        <v>27591</v>
      </c>
      <c r="B12" t="str">
        <v>GYRE</v>
      </c>
      <c r="C12" s="3">
        <v>45230</v>
      </c>
      <c r="D12" s="3">
        <v>45232</v>
      </c>
      <c r="E12" t="str">
        <v>O.I.</v>
      </c>
      <c r="F12" t="str">
        <v>-</v>
      </c>
      <c r="G12" t="str">
        <v>-</v>
      </c>
      <c r="H12" s="1">
        <v>11</v>
      </c>
      <c r="I12" s="2">
        <v>0</v>
      </c>
      <c r="J12" s="1">
        <v>74051757</v>
      </c>
      <c r="K12" t="str">
        <v>B/C  14689 Targacept</v>
      </c>
    </row>
    <row r="13">
      <c r="A13" t="str">
        <v>27591</v>
      </c>
      <c r="B13" t="str">
        <v>GYRE</v>
      </c>
      <c r="C13" s="3">
        <v>45230</v>
      </c>
      <c r="D13" s="3">
        <v>45232</v>
      </c>
      <c r="E13" t="str">
        <v>O.I.</v>
      </c>
      <c r="F13" t="str">
        <v>-</v>
      </c>
      <c r="G13" t="str">
        <v>-</v>
      </c>
      <c r="H13" s="1">
        <v>171</v>
      </c>
      <c r="I13" s="2">
        <v>0</v>
      </c>
      <c r="J13" s="1">
        <v>74051928</v>
      </c>
      <c r="K13" t="str">
        <v>B/C  20290 Catalyst Old Old unexchanged</v>
      </c>
    </row>
    <row r="14">
      <c r="A14" t="str">
        <v>27591</v>
      </c>
      <c r="B14" t="str">
        <v>GYRE</v>
      </c>
      <c r="C14" s="3">
        <v>45230</v>
      </c>
      <c r="D14" s="3">
        <v>45232</v>
      </c>
      <c r="E14" t="str">
        <v>O.I.</v>
      </c>
      <c r="F14" t="str">
        <v>-</v>
      </c>
      <c r="G14" t="str">
        <v>-</v>
      </c>
      <c r="H14" s="1">
        <v>2531667</v>
      </c>
      <c r="I14" s="2">
        <v>0</v>
      </c>
      <c r="J14" s="1">
        <v>76583595</v>
      </c>
      <c r="K14" t="str">
        <v>B/C  21328 Catalyst pre-merger post split</v>
      </c>
    </row>
    <row r="15">
      <c r="A15" t="str">
        <v>27591</v>
      </c>
      <c r="B15" t="str">
        <v>GYRE</v>
      </c>
      <c r="C15" s="3">
        <v>45245</v>
      </c>
      <c r="D15" s="3">
        <v>45245</v>
      </c>
      <c r="E15" t="str">
        <v>Retirement</v>
      </c>
      <c r="F15" t="str">
        <v>-</v>
      </c>
      <c r="G15" t="str">
        <v>-</v>
      </c>
      <c r="H15" s="1">
        <v>0</v>
      </c>
      <c r="I15" s="2">
        <v>-38</v>
      </c>
      <c r="J15" s="1">
        <v>76583557</v>
      </c>
      <c r="K15" t="str">
        <v>Fractions paid out DTC</v>
      </c>
    </row>
    <row r="16">
      <c r="A16" t="str">
        <v>27591</v>
      </c>
      <c r="B16" t="str">
        <v>GYRE</v>
      </c>
      <c r="C16" s="3">
        <v>45272</v>
      </c>
      <c r="D16" s="3">
        <v>45272</v>
      </c>
      <c r="E16" t="str">
        <v>Cede-Fast DWAC</v>
      </c>
      <c r="H16" s="1">
        <v>1228</v>
      </c>
      <c r="I16" s="2">
        <v>0</v>
      </c>
      <c r="J16" s="1">
        <v>76584785</v>
      </c>
      <c r="K16" t="str">
        <v>OpEx R. Jones</v>
      </c>
    </row>
    <row r="17">
      <c r="A17" t="str">
        <v>27591</v>
      </c>
      <c r="B17" t="str">
        <v>GYRE</v>
      </c>
      <c r="C17" s="3">
        <v>45273</v>
      </c>
      <c r="D17" s="3">
        <v>45273</v>
      </c>
      <c r="E17" t="str">
        <v>Cede-Fast DWAC</v>
      </c>
      <c r="H17" s="1">
        <v>200</v>
      </c>
      <c r="I17" s="2">
        <v>0</v>
      </c>
      <c r="J17" s="1">
        <v>76584985</v>
      </c>
      <c r="K17" t="str">
        <v>OpEx E. Williams</v>
      </c>
    </row>
    <row r="18">
      <c r="A18" t="str">
        <v>27591</v>
      </c>
      <c r="B18" t="str">
        <v>GYRE</v>
      </c>
      <c r="C18" s="3">
        <v>45274</v>
      </c>
      <c r="D18" s="3">
        <v>45274</v>
      </c>
      <c r="E18" t="str">
        <v>Cede-Fast DWAC</v>
      </c>
      <c r="H18" s="1">
        <v>284</v>
      </c>
      <c r="I18" s="2">
        <v>0</v>
      </c>
      <c r="J18" s="1">
        <v>76585269</v>
      </c>
      <c r="K18" t="str">
        <v>OpEx E. Williams</v>
      </c>
    </row>
    <row r="19">
      <c r="A19" t="str">
        <v>27591</v>
      </c>
      <c r="B19" t="str">
        <v>GYRE</v>
      </c>
      <c r="C19" s="3">
        <v>45275</v>
      </c>
      <c r="D19" s="3">
        <v>45275</v>
      </c>
      <c r="E19" t="str">
        <v>Cede-Fast DWAC</v>
      </c>
      <c r="H19" s="1">
        <v>5735</v>
      </c>
      <c r="I19" s="2">
        <v>0</v>
      </c>
      <c r="J19" s="1">
        <v>76591004</v>
      </c>
      <c r="K19" t="str">
        <v>OpEx E. Williams</v>
      </c>
    </row>
    <row r="20">
      <c r="A20" t="str">
        <v>27591</v>
      </c>
      <c r="B20" t="str">
        <v>GYRE</v>
      </c>
      <c r="C20" s="3">
        <v>45278</v>
      </c>
      <c r="D20" s="3">
        <v>45278</v>
      </c>
      <c r="E20" t="str">
        <v>Cede-Fast DWAC</v>
      </c>
      <c r="H20" s="1">
        <v>1000</v>
      </c>
      <c r="I20" s="2">
        <v>0</v>
      </c>
      <c r="J20" s="1">
        <v>76592004</v>
      </c>
      <c r="K20" t="str">
        <v>OpEx A. Hunt</v>
      </c>
    </row>
    <row r="21">
      <c r="A21" t="str">
        <v>27591</v>
      </c>
      <c r="B21" t="str">
        <v>GYRE</v>
      </c>
      <c r="C21" s="3">
        <v>45281</v>
      </c>
      <c r="D21" s="3">
        <v>45281</v>
      </c>
      <c r="E21" t="str">
        <v>Cede-Fast DWAC</v>
      </c>
      <c r="H21" s="1">
        <v>3612</v>
      </c>
      <c r="I21" s="2">
        <v>0</v>
      </c>
      <c r="J21" s="1">
        <v>76595616</v>
      </c>
      <c r="K21" t="str">
        <v>OpEx E. Williams</v>
      </c>
      <c r="L21" s="1">
        <f>SUM(H10:I21)</f>
        <v>76595616</v>
      </c>
    </row>
    <row r="22">
      <c r="A22" t="str">
        <v>27591</v>
      </c>
      <c r="B22" t="str">
        <v>GYRE</v>
      </c>
      <c r="C22" s="3">
        <v>45302</v>
      </c>
      <c r="D22" s="3">
        <v>45302</v>
      </c>
      <c r="E22" t="str">
        <v>CEDE-FAST</v>
      </c>
      <c r="F22" t="str">
        <v>-</v>
      </c>
      <c r="G22" t="str">
        <v>0015</v>
      </c>
      <c r="H22" s="1">
        <v>1000</v>
      </c>
      <c r="I22" s="2">
        <v>0</v>
      </c>
      <c r="J22" s="1">
        <v>76596616</v>
      </c>
      <c r="K22" t="str">
        <v>OpEx A. Hunt</v>
      </c>
    </row>
    <row r="23">
      <c r="A23" t="str">
        <v>27591</v>
      </c>
      <c r="B23" t="str">
        <v>GYRE</v>
      </c>
      <c r="C23" s="3">
        <v>45303</v>
      </c>
      <c r="D23" s="3">
        <v>45303</v>
      </c>
      <c r="E23" t="str">
        <v>CEDE-FAST</v>
      </c>
      <c r="F23" t="str">
        <v>-</v>
      </c>
      <c r="G23" t="str">
        <v>0015</v>
      </c>
      <c r="H23" s="1">
        <v>7680</v>
      </c>
      <c r="I23" s="2">
        <v>0</v>
      </c>
      <c r="J23" s="1">
        <v>76604296</v>
      </c>
      <c r="K23" t="str">
        <v>OpEx P. Scarpulla</v>
      </c>
    </row>
    <row r="24">
      <c r="A24" t="str">
        <v>27591</v>
      </c>
      <c r="B24" t="str">
        <v>GYRE</v>
      </c>
      <c r="C24" s="3">
        <v>45314</v>
      </c>
      <c r="D24" s="3">
        <v>45314</v>
      </c>
      <c r="E24" t="str">
        <v>O.I.</v>
      </c>
      <c r="F24" t="str">
        <v>-</v>
      </c>
      <c r="G24" t="str">
        <v>-</v>
      </c>
      <c r="H24" s="1">
        <v>8767333</v>
      </c>
      <c r="I24" s="2">
        <v>0</v>
      </c>
      <c r="J24" s="1">
        <v>85371629</v>
      </c>
      <c r="K24" t="str">
        <v>GNI conversion Preferred X</v>
      </c>
    </row>
    <row r="25">
      <c r="A25" t="str">
        <v>27591</v>
      </c>
      <c r="B25" t="str">
        <v>GYRE</v>
      </c>
      <c r="C25" s="3">
        <v>45321</v>
      </c>
      <c r="D25" s="3">
        <v>45321</v>
      </c>
      <c r="E25" t="str">
        <v>CEDE-FAST</v>
      </c>
      <c r="F25" t="str">
        <v>-</v>
      </c>
      <c r="G25" t="str">
        <v>0015</v>
      </c>
      <c r="H25" s="1">
        <v>2917</v>
      </c>
      <c r="I25" s="2">
        <v>0</v>
      </c>
      <c r="J25" s="1">
        <v>85374546</v>
      </c>
      <c r="K25" t="str">
        <v>OpEx T. Colton</v>
      </c>
      <c r="L25" s="1">
        <f>SUM(H22:I25)</f>
        <v>8778930</v>
      </c>
    </row>
    <row r="26">
      <c r="A26" t="str">
        <v>27591</v>
      </c>
      <c r="B26" t="str">
        <v>GYRE THERAPEUTICS INC (NEW)</v>
      </c>
      <c r="C26" s="3">
        <v>45342</v>
      </c>
      <c r="D26" s="3">
        <v>45342</v>
      </c>
      <c r="E26" t="str">
        <v>CEDE-FAST</v>
      </c>
      <c r="G26" t="str">
        <v>0015</v>
      </c>
      <c r="H26" s="1">
        <v>700</v>
      </c>
      <c r="I26" s="2">
        <v>0</v>
      </c>
      <c r="J26" s="1">
        <v>85375246</v>
      </c>
      <c r="K26" t="str">
        <v>DIR # CA 4 McClennan &amp; De Souza</v>
      </c>
    </row>
    <row r="27">
      <c r="A27" t="str">
        <v>27591</v>
      </c>
      <c r="B27" t="str">
        <v>GYRE THERAPEUTICS INC (NEW)</v>
      </c>
      <c r="C27" s="3">
        <v>45348</v>
      </c>
      <c r="D27" s="3">
        <v>45348</v>
      </c>
      <c r="E27" t="str">
        <v>CEDE-FAST</v>
      </c>
      <c r="G27" t="str">
        <v>0015</v>
      </c>
      <c r="H27" s="1">
        <v>5000</v>
      </c>
      <c r="I27" s="2">
        <v>0</v>
      </c>
      <c r="J27" s="1">
        <v>85380246</v>
      </c>
      <c r="K27" t="str">
        <v>DIR # CA 5 McClennan &amp; De Souza</v>
      </c>
    </row>
    <row r="28">
      <c r="A28" t="str">
        <v>27591</v>
      </c>
      <c r="B28" t="str">
        <v>GYRE THERAPEUTICS INC (NEW)</v>
      </c>
      <c r="C28" s="3">
        <v>45349</v>
      </c>
      <c r="D28" s="3">
        <v>45349</v>
      </c>
      <c r="E28" t="str">
        <v>CEDE-FAST</v>
      </c>
      <c r="G28" t="str">
        <v>0015</v>
      </c>
      <c r="H28" s="1">
        <v>10558</v>
      </c>
      <c r="I28" s="2">
        <v>0</v>
      </c>
      <c r="J28" s="1">
        <v>85390804</v>
      </c>
      <c r="K28" t="str">
        <v>DIR # CA 6 McClennan &amp; De Souza</v>
      </c>
    </row>
    <row r="29">
      <c r="A29" t="str">
        <v>27591</v>
      </c>
      <c r="B29" t="str">
        <v>GYRE THERAPEUTICS INC (NEW)</v>
      </c>
      <c r="C29" s="3">
        <v>45350</v>
      </c>
      <c r="D29" s="3">
        <v>45350</v>
      </c>
      <c r="E29" t="str">
        <v>CEDE-FAST</v>
      </c>
      <c r="G29" t="str">
        <v>0015</v>
      </c>
      <c r="H29" s="1">
        <v>900</v>
      </c>
      <c r="I29" s="2">
        <v>0</v>
      </c>
      <c r="J29" s="1">
        <v>85391704</v>
      </c>
      <c r="K29" t="str">
        <v>DIR # CA 7 McClennan &amp; De Souza</v>
      </c>
    </row>
    <row r="30">
      <c r="A30" t="str">
        <v>27591</v>
      </c>
      <c r="B30" t="str">
        <v>GYRE THERAPEUTICS INC (NEW)</v>
      </c>
      <c r="C30" s="3">
        <v>45351</v>
      </c>
      <c r="D30" s="3">
        <v>45351</v>
      </c>
      <c r="E30" t="str">
        <v>CEDE-FAST</v>
      </c>
      <c r="G30" t="str">
        <v>0015</v>
      </c>
      <c r="H30" s="1">
        <v>6542</v>
      </c>
      <c r="I30" s="2">
        <v>0</v>
      </c>
      <c r="J30" s="1">
        <v>85398246</v>
      </c>
      <c r="K30" t="str">
        <v>DIR # CA 8 McClennan &amp; De Souza</v>
      </c>
      <c r="L30" s="1">
        <f>SUM(H26:I30)</f>
        <v>23700</v>
      </c>
    </row>
    <row r="31">
      <c r="A31" t="str">
        <v>27591</v>
      </c>
      <c r="B31" t="str">
        <v>GYRE THERAPEUTICS INC (NEW)</v>
      </c>
      <c r="C31" s="3">
        <v>45365</v>
      </c>
      <c r="D31" s="3">
        <v>45365</v>
      </c>
      <c r="E31" t="str">
        <v>CEDE-FAST</v>
      </c>
      <c r="F31" t="str">
        <v>-</v>
      </c>
      <c r="G31" t="str">
        <v>0015</v>
      </c>
      <c r="H31" s="1">
        <v>5000</v>
      </c>
      <c r="I31" s="2">
        <v>0</v>
      </c>
      <c r="J31" s="1">
        <v>85403246</v>
      </c>
      <c r="K31" t="str">
        <v>DIR # CA 9 McClennan</v>
      </c>
    </row>
    <row r="32">
      <c r="A32" t="str">
        <v>27591</v>
      </c>
      <c r="B32" t="str">
        <v>GYRE THERAPEUTICS INC (NEW)</v>
      </c>
      <c r="C32" s="3">
        <v>45369</v>
      </c>
      <c r="D32" s="3">
        <v>45369</v>
      </c>
      <c r="E32" t="str">
        <v>CEDE-FAST</v>
      </c>
      <c r="F32" t="str">
        <v>-</v>
      </c>
      <c r="G32" t="str">
        <v>0015</v>
      </c>
      <c r="H32" s="1">
        <v>20000</v>
      </c>
      <c r="I32" s="2">
        <v>0</v>
      </c>
      <c r="J32" s="1">
        <v>85423246</v>
      </c>
      <c r="K32" t="str">
        <v>DIR # CA 10  Usman 10b5</v>
      </c>
      <c r="L32" s="1">
        <f>SUM(H31:I32)</f>
        <v>25000</v>
      </c>
    </row>
    <row r="33">
      <c r="A33" t="str">
        <v>27591</v>
      </c>
      <c r="B33" t="str">
        <v>GYRE THERAPEUTICS INC (NEW)</v>
      </c>
      <c r="C33" s="3">
        <v>45383</v>
      </c>
      <c r="D33" s="3" t="str">
        <v>-</v>
      </c>
      <c r="E33" t="str">
        <v>CEDE-FAST</v>
      </c>
      <c r="F33">
        <v>111488849</v>
      </c>
      <c r="G33" t="str">
        <v>0015</v>
      </c>
      <c r="H33" s="1">
        <v>1417</v>
      </c>
      <c r="I33" s="2">
        <v>0</v>
      </c>
      <c r="J33" s="1">
        <v>85424663</v>
      </c>
      <c r="K33" t="str">
        <v>DIR # CA 11 Wu (from March)</v>
      </c>
    </row>
    <row r="34">
      <c r="A34" t="str">
        <v>27591</v>
      </c>
      <c r="B34" t="str">
        <v>GYRE THERAPEUTICS INC (NEW)</v>
      </c>
      <c r="C34" s="3">
        <v>45384</v>
      </c>
      <c r="D34" s="3">
        <v>45384</v>
      </c>
      <c r="E34" t="str">
        <v>CEDE-FAST</v>
      </c>
      <c r="F34" t="str">
        <v>-</v>
      </c>
      <c r="G34" t="str">
        <v>0015</v>
      </c>
      <c r="H34" s="1">
        <v>20000</v>
      </c>
      <c r="I34" s="2">
        <v>0</v>
      </c>
      <c r="J34" s="1">
        <v>85444663</v>
      </c>
      <c r="K34" t="str">
        <v>DIR # CA 12 Usman</v>
      </c>
    </row>
    <row r="35">
      <c r="A35" t="str">
        <v>27591</v>
      </c>
      <c r="B35" t="str">
        <v>GYRE THERAPEUTICS INC (NEW)</v>
      </c>
      <c r="C35" s="3">
        <v>45385</v>
      </c>
      <c r="D35" s="3">
        <v>45385</v>
      </c>
      <c r="E35" t="str">
        <v>CEDE-FAST</v>
      </c>
      <c r="F35" t="str">
        <v>-</v>
      </c>
      <c r="G35" t="str">
        <v>0015</v>
      </c>
      <c r="H35" s="1">
        <v>3271</v>
      </c>
      <c r="I35" s="2">
        <v>0</v>
      </c>
      <c r="J35" s="1">
        <v>85447934</v>
      </c>
      <c r="K35" t="str">
        <v>DIR # CA 13 Wu</v>
      </c>
    </row>
    <row r="36">
      <c r="A36" t="str">
        <v>27591</v>
      </c>
      <c r="B36" t="str">
        <v>GYRE THERAPEUTICS INC (NEW)</v>
      </c>
      <c r="C36" s="3">
        <v>45386</v>
      </c>
      <c r="D36" s="3">
        <v>45386</v>
      </c>
      <c r="E36" t="str">
        <v>CEDE-FAST</v>
      </c>
      <c r="F36" t="str">
        <v>-</v>
      </c>
      <c r="G36" t="str">
        <v>0015</v>
      </c>
      <c r="H36" s="1">
        <v>2729</v>
      </c>
      <c r="I36" s="2">
        <v>0</v>
      </c>
      <c r="J36" s="1">
        <v>85450663</v>
      </c>
      <c r="K36" t="str">
        <v>DIR # CA 14 Wu (729 sh) McLennan (2,000 sh)</v>
      </c>
    </row>
    <row r="37">
      <c r="A37" t="str">
        <v>27591</v>
      </c>
      <c r="B37" t="str">
        <v>GYRE THERAPEUTICS INC (NEW)</v>
      </c>
      <c r="C37" s="3">
        <v>45387</v>
      </c>
      <c r="D37" s="3">
        <v>45387</v>
      </c>
      <c r="E37" t="str">
        <v>CEDE-FAST</v>
      </c>
      <c r="F37" t="str">
        <v>-</v>
      </c>
      <c r="G37" t="str">
        <v>0015</v>
      </c>
      <c r="H37" s="1">
        <v>777</v>
      </c>
      <c r="I37" s="2">
        <v>0</v>
      </c>
      <c r="J37" s="1">
        <v>85451440</v>
      </c>
      <c r="K37" t="str">
        <v>DIR # CA 15 Wu</v>
      </c>
    </row>
    <row r="38">
      <c r="A38" t="str">
        <v>27591</v>
      </c>
      <c r="B38" t="str">
        <v>GYRE THERAPEUTICS INC (NEW)</v>
      </c>
      <c r="C38" s="3">
        <v>45390</v>
      </c>
      <c r="D38" s="3">
        <v>45390</v>
      </c>
      <c r="E38" t="str">
        <v>CEDE-FAST</v>
      </c>
      <c r="F38" t="str">
        <v>-</v>
      </c>
      <c r="G38" t="str">
        <v>0015</v>
      </c>
      <c r="H38" s="1">
        <v>3412</v>
      </c>
      <c r="I38" s="2">
        <v>0</v>
      </c>
      <c r="J38" s="1">
        <v>85454852</v>
      </c>
      <c r="K38" t="str">
        <v>DIR # CA 16 (Wu 1,412) McLennan (2,000)</v>
      </c>
    </row>
    <row r="39">
      <c r="A39" t="str">
        <v>27591</v>
      </c>
      <c r="B39" t="str">
        <v>GYRE THERAPEUTICS INC (NEW)</v>
      </c>
      <c r="C39" s="3">
        <v>45391</v>
      </c>
      <c r="D39" s="3">
        <v>45391</v>
      </c>
      <c r="E39" t="str">
        <v>CEDE-FAST</v>
      </c>
      <c r="F39" t="str">
        <v>-</v>
      </c>
      <c r="G39" t="str">
        <v>0015</v>
      </c>
      <c r="H39" s="1">
        <v>2966</v>
      </c>
      <c r="I39" s="2">
        <v>0</v>
      </c>
      <c r="J39" s="1">
        <v>85457818</v>
      </c>
      <c r="K39" t="str">
        <v>DIR # CA 17 Wu</v>
      </c>
    </row>
    <row r="40">
      <c r="A40" t="str">
        <v>27591</v>
      </c>
      <c r="B40" t="str">
        <v>GYRE THERAPEUTICS INC (NEW)</v>
      </c>
      <c r="C40" s="3">
        <v>45392</v>
      </c>
      <c r="D40" s="3">
        <v>45392</v>
      </c>
      <c r="E40" t="str">
        <v>CEDE-FAST</v>
      </c>
      <c r="F40" t="str">
        <v>-</v>
      </c>
      <c r="G40" t="str">
        <v>0015</v>
      </c>
      <c r="H40" s="1">
        <v>2154</v>
      </c>
      <c r="I40" s="2">
        <v>0</v>
      </c>
      <c r="J40" s="1">
        <v>85459972</v>
      </c>
      <c r="K40" t="str">
        <v>DIR # CA 18 Wu</v>
      </c>
    </row>
    <row r="41">
      <c r="A41" t="str">
        <v>27591</v>
      </c>
      <c r="B41" t="str">
        <v>GYRE THERAPEUTICS INC (NEW)</v>
      </c>
      <c r="C41" s="3">
        <v>45399</v>
      </c>
      <c r="D41" s="3">
        <v>45399</v>
      </c>
      <c r="E41" t="str">
        <v>CEDE-FAST</v>
      </c>
      <c r="F41" t="str">
        <v>-</v>
      </c>
      <c r="G41" t="str">
        <v>0015</v>
      </c>
      <c r="H41" s="1">
        <v>343</v>
      </c>
      <c r="I41" s="2">
        <v>0</v>
      </c>
      <c r="J41" s="1">
        <v>85460315</v>
      </c>
      <c r="K41" t="str">
        <v>DIR # CA 19 Wu</v>
      </c>
    </row>
    <row r="42">
      <c r="A42" t="str">
        <v>27591</v>
      </c>
      <c r="B42" t="str">
        <v>GYRE THERAPEUTICS INC (NEW)</v>
      </c>
      <c r="C42" s="3">
        <v>45400</v>
      </c>
      <c r="D42" s="3">
        <v>45400</v>
      </c>
      <c r="E42" t="str">
        <v>CEDE-FAST</v>
      </c>
      <c r="F42" t="str">
        <v>-</v>
      </c>
      <c r="G42" t="str">
        <v>0015</v>
      </c>
      <c r="H42" s="1">
        <v>6357</v>
      </c>
      <c r="I42" s="2">
        <v>0</v>
      </c>
      <c r="J42" s="1">
        <v>85466672</v>
      </c>
      <c r="K42" t="str">
        <v>DIR # CA 20 (McLennan 1,700)(Wu 4,657)</v>
      </c>
    </row>
    <row r="43">
      <c r="A43" t="str">
        <v>27591</v>
      </c>
      <c r="B43" t="str">
        <v>GYRE THERAPEUTICS INC (NEW)</v>
      </c>
      <c r="C43" s="3">
        <v>45401</v>
      </c>
      <c r="D43" s="3">
        <v>45401</v>
      </c>
      <c r="E43" t="str">
        <v>CEDE-FAST</v>
      </c>
      <c r="F43" t="str">
        <v>-</v>
      </c>
      <c r="G43" t="str">
        <v>0015</v>
      </c>
      <c r="H43" s="1">
        <v>9</v>
      </c>
      <c r="I43" s="2">
        <v>0</v>
      </c>
      <c r="J43" s="1">
        <v>85466681</v>
      </c>
      <c r="K43" t="str">
        <v>DIR #: CA 21 McLennan</v>
      </c>
    </row>
    <row r="44">
      <c r="A44" t="str">
        <v>27591</v>
      </c>
      <c r="B44" t="str">
        <v>GYRE THERAPEUTICS INC (NEW)</v>
      </c>
      <c r="C44" s="3">
        <v>45405</v>
      </c>
      <c r="D44" s="3">
        <v>45405</v>
      </c>
      <c r="E44" t="str">
        <v>CEDE-FAST</v>
      </c>
      <c r="F44" t="str">
        <v>-</v>
      </c>
      <c r="G44" t="str">
        <v>0015</v>
      </c>
      <c r="H44" s="1">
        <v>10315</v>
      </c>
      <c r="I44" s="2">
        <v>0</v>
      </c>
      <c r="J44" s="1">
        <v>85476996</v>
      </c>
      <c r="K44" t="str">
        <v>DIR # CA 22 (McLennan 4,315)(Wu 6,000)</v>
      </c>
    </row>
    <row r="45">
      <c r="A45" t="str">
        <v>27591</v>
      </c>
      <c r="B45" t="str">
        <v>GYRE THERAPEUTICS INC (NEW)</v>
      </c>
      <c r="C45" s="3">
        <v>45406</v>
      </c>
      <c r="D45" s="3">
        <v>45406</v>
      </c>
      <c r="E45" t="str">
        <v>CEDE-FAST</v>
      </c>
      <c r="F45" t="str">
        <v>-</v>
      </c>
      <c r="G45" t="str">
        <v>0015</v>
      </c>
      <c r="H45" s="1">
        <v>1921</v>
      </c>
      <c r="I45" s="2">
        <v>0</v>
      </c>
      <c r="J45" s="1">
        <v>85478917</v>
      </c>
      <c r="K45" t="str">
        <v>DIR # CA 23 (McLennan 656)(Wu 1,265)</v>
      </c>
    </row>
    <row r="46">
      <c r="A46" t="str">
        <v>27591</v>
      </c>
      <c r="B46" t="str">
        <v>GYRE THERAPEUTICS INC (NEW)</v>
      </c>
      <c r="C46" s="3">
        <v>45407</v>
      </c>
      <c r="D46" s="3">
        <v>45407</v>
      </c>
      <c r="E46" t="str">
        <v>CEDE-FAST</v>
      </c>
      <c r="F46" t="str">
        <v>-</v>
      </c>
      <c r="G46" t="str">
        <v>0015</v>
      </c>
      <c r="H46" s="1">
        <v>735</v>
      </c>
      <c r="I46" s="2">
        <v>0</v>
      </c>
      <c r="J46" s="1">
        <v>85479652</v>
      </c>
      <c r="K46" t="str">
        <v>DIR # CA 24 Wu</v>
      </c>
    </row>
    <row r="47">
      <c r="A47" t="str">
        <v>27591</v>
      </c>
      <c r="B47" t="str">
        <v>GYRE THERAPEUTICS INC (NEW)</v>
      </c>
      <c r="C47" s="3">
        <v>45408</v>
      </c>
      <c r="D47" s="3">
        <v>45408</v>
      </c>
      <c r="E47" t="str">
        <v>CEDE-FAST</v>
      </c>
      <c r="F47" t="str">
        <v>-</v>
      </c>
      <c r="G47" t="str">
        <v>0015</v>
      </c>
      <c r="H47" s="1">
        <v>6500</v>
      </c>
      <c r="I47" s="2">
        <v>0</v>
      </c>
      <c r="J47" s="1">
        <v>85486152</v>
      </c>
      <c r="K47" t="str">
        <v>DIR # CA 25 Wu</v>
      </c>
    </row>
    <row r="48">
      <c r="A48" t="str">
        <v>27591</v>
      </c>
      <c r="B48" t="str">
        <v>GYRE THERAPEUTICS INC (NEW)</v>
      </c>
      <c r="C48" s="3">
        <v>45411</v>
      </c>
      <c r="D48" s="3">
        <v>45411</v>
      </c>
      <c r="E48" t="str">
        <v>CEDE-FAST</v>
      </c>
      <c r="F48" t="str">
        <v>-</v>
      </c>
      <c r="G48" t="str">
        <v>0015</v>
      </c>
      <c r="H48" s="1">
        <v>3964</v>
      </c>
      <c r="I48" s="2">
        <v>0</v>
      </c>
      <c r="J48" s="1">
        <v>85490116</v>
      </c>
      <c r="K48" t="str">
        <v>DIR # CA 26 Wu</v>
      </c>
      <c r="L48" s="1">
        <f>SUM(H33:I48)</f>
        <v>66870</v>
      </c>
    </row>
    <row r="49">
      <c r="A49" t="str">
        <v>27591</v>
      </c>
      <c r="B49" t="str">
        <v>GYRE THERAPEUTICS INC (NEW)</v>
      </c>
      <c r="C49" s="3">
        <v>45414</v>
      </c>
      <c r="D49" s="3">
        <v>45414</v>
      </c>
      <c r="E49" t="str">
        <v>CEDE-FAST</v>
      </c>
      <c r="F49" t="str">
        <v>-</v>
      </c>
      <c r="G49" t="str">
        <v>0015</v>
      </c>
      <c r="H49" s="1">
        <v>20000</v>
      </c>
      <c r="I49" s="2">
        <v>0</v>
      </c>
      <c r="J49" s="1">
        <v>85510116</v>
      </c>
      <c r="K49" t="str">
        <v>DIR # CA 27 Usman</v>
      </c>
    </row>
    <row r="50">
      <c r="A50" t="str">
        <v>27591</v>
      </c>
      <c r="B50" t="str">
        <v>GYRE THERAPEUTICS INC (NEW)</v>
      </c>
      <c r="C50" s="3">
        <v>45442</v>
      </c>
      <c r="D50" s="3">
        <v>45442</v>
      </c>
      <c r="E50" t="str">
        <v>CEDE-FAST</v>
      </c>
      <c r="F50" t="str">
        <v>-</v>
      </c>
      <c r="G50" t="str">
        <v>0015</v>
      </c>
      <c r="H50" s="1">
        <v>3900</v>
      </c>
      <c r="I50" s="2">
        <v>0</v>
      </c>
      <c r="J50" s="1">
        <v>85514016</v>
      </c>
      <c r="K50" t="str">
        <v>DIR # CA 28 (McLennan 100)(Wu 3,800)</v>
      </c>
    </row>
    <row r="51">
      <c r="A51" t="str">
        <v>27591</v>
      </c>
      <c r="B51" t="str">
        <v>GYRE THERAPEUTICS INC (NEW)</v>
      </c>
      <c r="C51" s="3">
        <v>45443</v>
      </c>
      <c r="D51" s="3">
        <v>45443</v>
      </c>
      <c r="E51" t="str">
        <v>CEDE-FAST</v>
      </c>
      <c r="F51" t="str">
        <v>-</v>
      </c>
      <c r="G51" t="str">
        <v>0015</v>
      </c>
      <c r="H51" s="1">
        <v>208</v>
      </c>
      <c r="I51" s="2">
        <v>0</v>
      </c>
      <c r="J51" s="1">
        <v>85514224</v>
      </c>
      <c r="K51" t="str">
        <v>DIR # CA 29 Wu</v>
      </c>
      <c r="L51" s="1">
        <f>SUM(H49:H51)</f>
        <v>24108</v>
      </c>
    </row>
    <row r="52">
      <c r="A52" t="str">
        <v>27591</v>
      </c>
      <c r="B52" t="str">
        <v>GYRE THERAPEUTICS INC (NEW)</v>
      </c>
      <c r="C52" s="3">
        <v>45446</v>
      </c>
      <c r="D52" s="3">
        <v>45446</v>
      </c>
      <c r="E52" t="str">
        <v>CEDE-FAST</v>
      </c>
      <c r="F52" t="str">
        <v>-</v>
      </c>
      <c r="G52" t="str">
        <v>0015</v>
      </c>
      <c r="H52" s="1">
        <v>10692</v>
      </c>
      <c r="I52" s="2">
        <v>0</v>
      </c>
      <c r="J52" s="1">
        <v>85524916</v>
      </c>
      <c r="K52" t="str">
        <v>DIR # CA 30 (McLennan 900)(Wu 9,792)</v>
      </c>
    </row>
    <row r="53">
      <c r="A53" t="str">
        <v>27591</v>
      </c>
      <c r="B53" t="str">
        <v>GYRE THERAPEUTICS INC (NEW)</v>
      </c>
      <c r="C53" s="3">
        <v>45448</v>
      </c>
      <c r="D53" s="3">
        <v>45448</v>
      </c>
      <c r="E53" t="str">
        <v>CEDE-FAST</v>
      </c>
      <c r="F53" t="str">
        <v>-</v>
      </c>
      <c r="G53" t="str">
        <v>0015</v>
      </c>
      <c r="H53" s="1">
        <v>5409</v>
      </c>
      <c r="I53" s="2">
        <v>0</v>
      </c>
      <c r="J53" s="1">
        <v>85530325</v>
      </c>
      <c r="K53" t="str">
        <v>DIR # CA 31 (McLennan 2,938)(Wu 2,471)</v>
      </c>
    </row>
    <row r="54">
      <c r="A54" t="str">
        <v>27591</v>
      </c>
      <c r="B54" t="str">
        <v>GYRE THERAPEUTICS INC (NEW)</v>
      </c>
      <c r="C54" s="3">
        <v>45449</v>
      </c>
      <c r="D54" s="3">
        <v>45449</v>
      </c>
      <c r="E54" t="str">
        <v>CEDE-FAST</v>
      </c>
      <c r="F54" t="str">
        <v>-</v>
      </c>
      <c r="G54" t="str">
        <v>0015</v>
      </c>
      <c r="H54" s="1">
        <v>512</v>
      </c>
      <c r="I54" s="2">
        <v>0</v>
      </c>
      <c r="J54" s="1">
        <v>85530837</v>
      </c>
      <c r="K54" t="str">
        <v>DIR # CA 32 (McLennan 312)(Wu 200)</v>
      </c>
    </row>
    <row r="55">
      <c r="A55" t="str">
        <v>27591</v>
      </c>
      <c r="B55" t="str">
        <v>GYRE THERAPEUTICS INC (NEW)</v>
      </c>
      <c r="C55" s="3">
        <v>45450</v>
      </c>
      <c r="D55" s="3">
        <v>45450</v>
      </c>
      <c r="E55" t="str">
        <v>CEDE-FAST</v>
      </c>
      <c r="F55" t="str">
        <v>-</v>
      </c>
      <c r="G55" t="str">
        <v>0015</v>
      </c>
      <c r="H55" s="1">
        <v>711</v>
      </c>
      <c r="I55" s="2">
        <v>0</v>
      </c>
      <c r="J55" s="1">
        <v>85531548</v>
      </c>
      <c r="K55" t="str">
        <v>DIR # CA 33 (McLennan 400)(Wu 311)</v>
      </c>
    </row>
    <row r="56">
      <c r="A56" t="str">
        <v>27591</v>
      </c>
      <c r="B56" t="str">
        <v>GYRE THERAPEUTICS INC (NEW)</v>
      </c>
      <c r="C56" s="3">
        <v>45453</v>
      </c>
      <c r="D56" s="3">
        <v>45453</v>
      </c>
      <c r="E56" t="str">
        <v>CEDE-FAST</v>
      </c>
      <c r="F56" t="str">
        <v>-</v>
      </c>
      <c r="G56" t="str">
        <v>0015</v>
      </c>
      <c r="H56" s="1">
        <v>4161</v>
      </c>
      <c r="I56" s="2">
        <v>0</v>
      </c>
      <c r="J56" s="1">
        <v>85535709</v>
      </c>
      <c r="K56" t="str">
        <v>DIR # CA 34 (McLennan 2,143)(Wu 2,018)</v>
      </c>
    </row>
    <row r="57">
      <c r="A57" t="str">
        <v>27591</v>
      </c>
      <c r="B57" t="str">
        <v>GYRE THERAPEUTICS INC (NEW)</v>
      </c>
      <c r="C57" s="3">
        <v>45468</v>
      </c>
      <c r="D57" s="3">
        <v>45468</v>
      </c>
      <c r="E57" t="str">
        <v>CEDE-FAST</v>
      </c>
      <c r="F57" t="str">
        <v>-</v>
      </c>
      <c r="G57" t="str">
        <v>0015</v>
      </c>
      <c r="H57" s="1">
        <v>100</v>
      </c>
      <c r="I57" s="2">
        <v>0</v>
      </c>
      <c r="J57" s="1">
        <v>85535809</v>
      </c>
      <c r="K57" t="str">
        <v>DIR # CA 35 Wu</v>
      </c>
    </row>
    <row r="58">
      <c r="A58" t="str">
        <v>27591</v>
      </c>
      <c r="B58" t="str">
        <v>GYRE THERAPEUTICS INC (NEW)</v>
      </c>
      <c r="C58" s="3">
        <v>45469</v>
      </c>
      <c r="D58" s="3">
        <v>45469</v>
      </c>
      <c r="E58" t="str">
        <v>CEDE-FAST</v>
      </c>
      <c r="F58" t="str">
        <v>-</v>
      </c>
      <c r="G58" t="str">
        <v>0015</v>
      </c>
      <c r="H58" s="1">
        <v>1965</v>
      </c>
      <c r="I58" s="2">
        <v>0</v>
      </c>
      <c r="J58" s="1">
        <v>85537774</v>
      </c>
      <c r="K58" t="str">
        <v>DIR# CA 36 Wu</v>
      </c>
      <c r="L58" s="1">
        <f>SUM(H52:H58)</f>
        <v>23550</v>
      </c>
    </row>
    <row r="59">
      <c r="A59" t="str">
        <v>27591</v>
      </c>
      <c r="B59" t="str">
        <v>GYRE THERAPEUTICS INC (NEW)</v>
      </c>
      <c r="C59" s="3">
        <v>45474</v>
      </c>
      <c r="D59" s="3">
        <v>45474</v>
      </c>
      <c r="E59" t="str">
        <v>CEDE-FAST</v>
      </c>
      <c r="F59" t="str">
        <v>-</v>
      </c>
      <c r="G59" t="str">
        <v>0015</v>
      </c>
      <c r="H59" s="1">
        <v>16387</v>
      </c>
      <c r="I59" s="2">
        <v>0</v>
      </c>
      <c r="J59" s="1">
        <v>85554161</v>
      </c>
      <c r="K59" t="str">
        <v>DIR #: CA 37 (Wu 12,935) (Usman 3,452)</v>
      </c>
    </row>
    <row r="60">
      <c r="A60" t="str">
        <v>27591</v>
      </c>
      <c r="B60" t="str">
        <v>GYRE THERAPEUTICS INC (NEW)</v>
      </c>
      <c r="C60" s="3">
        <v>45475</v>
      </c>
      <c r="D60" s="3">
        <v>45475</v>
      </c>
      <c r="E60" t="str">
        <v>CEDE-FAST</v>
      </c>
      <c r="F60" t="str">
        <v>-</v>
      </c>
      <c r="G60" t="str">
        <v>0015</v>
      </c>
      <c r="H60" s="1">
        <v>12200</v>
      </c>
      <c r="I60" s="2">
        <v>0</v>
      </c>
      <c r="J60" s="1">
        <v>85566361</v>
      </c>
      <c r="K60" t="str">
        <v>DIR # CA 38 Usman</v>
      </c>
    </row>
    <row r="61">
      <c r="A61" t="str">
        <v>27591</v>
      </c>
      <c r="B61" t="str">
        <v>GYRE THERAPEUTICS INC (NEW)</v>
      </c>
      <c r="C61" s="3">
        <v>45476</v>
      </c>
      <c r="D61" s="3">
        <v>45476</v>
      </c>
      <c r="E61" t="str">
        <v>CEDE-FAST</v>
      </c>
      <c r="F61" t="str">
        <v>-</v>
      </c>
      <c r="G61" t="str">
        <v>0015</v>
      </c>
      <c r="H61" s="1">
        <v>7767</v>
      </c>
      <c r="I61" s="2">
        <v>0</v>
      </c>
      <c r="J61" s="1">
        <v>85574128</v>
      </c>
      <c r="K61" t="str">
        <v>DIR #: CA 39 Usman</v>
      </c>
    </row>
    <row r="62">
      <c r="A62" t="str">
        <v>27591</v>
      </c>
      <c r="B62" t="str">
        <v>GYRE THERAPEUTICS INC (NEW)</v>
      </c>
      <c r="C62" s="3">
        <v>45478</v>
      </c>
      <c r="D62" s="3">
        <v>45478</v>
      </c>
      <c r="E62" t="str">
        <v>CEDE-FAST</v>
      </c>
      <c r="F62" t="str">
        <v>-</v>
      </c>
      <c r="G62" t="str">
        <v>0015</v>
      </c>
      <c r="H62" s="1">
        <v>33</v>
      </c>
      <c r="I62" s="2">
        <v>0</v>
      </c>
      <c r="J62" s="1">
        <v>85574161</v>
      </c>
      <c r="K62" t="str">
        <v>DIR # CA 40 Usman</v>
      </c>
    </row>
    <row r="63">
      <c r="A63" t="str">
        <v>27591</v>
      </c>
      <c r="B63" t="str">
        <v>GYRE THERAPEUTICS INC (NEW)</v>
      </c>
      <c r="C63" s="3">
        <v>45481</v>
      </c>
      <c r="D63" s="3">
        <v>45481</v>
      </c>
      <c r="E63" t="str">
        <v>CEDE-FAST</v>
      </c>
      <c r="F63" t="str">
        <v>-</v>
      </c>
      <c r="G63" t="str">
        <v>0015</v>
      </c>
      <c r="H63" s="1">
        <v>5000</v>
      </c>
      <c r="I63" s="2">
        <v>0</v>
      </c>
      <c r="J63" s="1">
        <v>85579161</v>
      </c>
      <c r="K63" t="str">
        <v>DIR # CA 41 Wu</v>
      </c>
    </row>
    <row r="64">
      <c r="A64" t="str">
        <v>27591</v>
      </c>
      <c r="B64" t="str">
        <v>GYRE THERAPEUTICS INC (NEW)</v>
      </c>
      <c r="C64" s="3">
        <v>45485</v>
      </c>
      <c r="D64" s="3">
        <v>45485</v>
      </c>
      <c r="E64" t="str">
        <v>CEDE-FAST</v>
      </c>
      <c r="F64" t="str">
        <v>-</v>
      </c>
      <c r="G64" t="str">
        <v>0015</v>
      </c>
      <c r="H64" s="1">
        <v>2500</v>
      </c>
      <c r="I64" s="2">
        <v>0</v>
      </c>
      <c r="J64" s="1">
        <v>85581661</v>
      </c>
      <c r="K64" t="str">
        <v>DIR #: CA 42 Wu</v>
      </c>
    </row>
    <row r="65">
      <c r="A65" t="str">
        <v>27591</v>
      </c>
      <c r="B65" t="str">
        <v>GYRE THERAPEUTICS INC (NEW)</v>
      </c>
      <c r="C65" s="3">
        <v>45489</v>
      </c>
      <c r="D65" s="3">
        <v>45489</v>
      </c>
      <c r="E65" t="str">
        <v>CEDE-FAST</v>
      </c>
      <c r="F65" t="str">
        <v>-</v>
      </c>
      <c r="G65" t="str">
        <v>0015</v>
      </c>
      <c r="H65" s="1">
        <v>5000</v>
      </c>
      <c r="I65" s="2">
        <v>0</v>
      </c>
      <c r="J65" s="1">
        <v>85586661</v>
      </c>
      <c r="K65" t="str">
        <v>DIR #: CA 43 Wu</v>
      </c>
    </row>
    <row r="66">
      <c r="A66" t="str">
        <v>27591</v>
      </c>
      <c r="B66" t="str">
        <v>GYRE THERAPEUTICS INC (NEW)</v>
      </c>
      <c r="C66" s="3">
        <v>45489</v>
      </c>
      <c r="D66" s="3">
        <v>45489</v>
      </c>
      <c r="E66" t="str">
        <v>CEDE-FAST</v>
      </c>
      <c r="F66" t="str">
        <v>-</v>
      </c>
      <c r="G66" t="str">
        <v>0015</v>
      </c>
      <c r="H66" s="1">
        <v>12400</v>
      </c>
      <c r="I66" s="2">
        <v>0</v>
      </c>
      <c r="J66" s="1">
        <v>85599061</v>
      </c>
      <c r="K66" t="str">
        <v>DIR # CA 44 (Wu 7,500) (Usman 4,900)</v>
      </c>
    </row>
    <row r="67">
      <c r="A67" t="str">
        <v>27591</v>
      </c>
      <c r="B67" t="str">
        <v>GYRE THERAPEUTICS INC (NEW)</v>
      </c>
      <c r="C67" s="3">
        <v>45490</v>
      </c>
      <c r="D67" s="3">
        <v>45490</v>
      </c>
      <c r="E67" t="str">
        <v>CEDE-FAST</v>
      </c>
      <c r="F67" t="str">
        <v>-</v>
      </c>
      <c r="G67" t="str">
        <v>0015</v>
      </c>
      <c r="H67" s="1">
        <v>5100</v>
      </c>
      <c r="I67" s="2">
        <v>0</v>
      </c>
      <c r="J67" s="1">
        <v>85604161</v>
      </c>
      <c r="K67" t="str">
        <v>DIR # CA 45 (Wu 5,000) (Usman 100)</v>
      </c>
    </row>
    <row r="68">
      <c r="A68" t="str">
        <v>27591</v>
      </c>
      <c r="B68" t="str">
        <v>GYRE THERAPEUTICS INC (NEW)</v>
      </c>
      <c r="C68" s="3">
        <v>45491</v>
      </c>
      <c r="D68" s="3">
        <v>45491</v>
      </c>
      <c r="E68" t="str">
        <v>CEDE-FAST</v>
      </c>
      <c r="F68" t="str">
        <v>-</v>
      </c>
      <c r="G68" t="str">
        <v>0015</v>
      </c>
      <c r="H68" s="1">
        <v>3347</v>
      </c>
      <c r="I68" s="2">
        <v>0</v>
      </c>
      <c r="J68" s="1">
        <v>85607508</v>
      </c>
      <c r="K68" t="str">
        <v>DIR # CA 46 Usman</v>
      </c>
    </row>
    <row r="69">
      <c r="A69" t="str">
        <v>27591</v>
      </c>
      <c r="B69" t="str">
        <v>GYRE THERAPEUTICS INC (NEW)</v>
      </c>
      <c r="C69" s="3">
        <v>45492</v>
      </c>
      <c r="D69" s="3">
        <v>45492</v>
      </c>
      <c r="E69" t="str">
        <v>CEDE-FAST</v>
      </c>
      <c r="F69" t="str">
        <v>-</v>
      </c>
      <c r="G69" t="str">
        <v>0015</v>
      </c>
      <c r="H69" s="1">
        <v>633</v>
      </c>
      <c r="I69" s="2">
        <v>0</v>
      </c>
      <c r="J69" s="1">
        <v>85608141</v>
      </c>
      <c r="K69" t="str">
        <v>DIR # CA 47 Usman</v>
      </c>
    </row>
    <row r="70">
      <c r="A70" t="str">
        <v>27591</v>
      </c>
      <c r="B70" t="str">
        <v>GYRE THERAPEUTICS INC (NEW)</v>
      </c>
      <c r="C70" s="3">
        <v>45499</v>
      </c>
      <c r="D70" s="3">
        <v>45502</v>
      </c>
      <c r="E70" t="str">
        <v>O.I.</v>
      </c>
      <c r="F70" t="str">
        <v>-</v>
      </c>
      <c r="G70" t="str">
        <v>-</v>
      </c>
      <c r="H70" s="1">
        <v>7815396</v>
      </c>
      <c r="I70" s="2">
        <v>0</v>
      </c>
      <c r="J70" s="1">
        <v>93423537</v>
      </c>
      <c r="K70" t="str">
        <v>Equity Inc.Sub-Pl. Futu Network Technology</v>
      </c>
    </row>
    <row r="71">
      <c r="A71" t="str">
        <v>27591</v>
      </c>
      <c r="B71" t="str">
        <v>GYRE THERAPEUTICS INC (NEW)</v>
      </c>
      <c r="C71" s="3">
        <v>45503</v>
      </c>
      <c r="D71" s="3">
        <v>45503</v>
      </c>
      <c r="E71" t="str">
        <v>CEDE-FAST</v>
      </c>
      <c r="F71" t="str">
        <v>-</v>
      </c>
      <c r="G71" t="str">
        <v>0015</v>
      </c>
      <c r="H71" s="1">
        <v>647</v>
      </c>
      <c r="I71" s="2">
        <v>0</v>
      </c>
      <c r="J71" s="1">
        <v>93424184</v>
      </c>
      <c r="K71" t="str">
        <v>DIR # CA 48 Wu</v>
      </c>
      <c r="L71" s="1">
        <f>SUM(H59:I71)</f>
        <v>7886410</v>
      </c>
    </row>
    <row r="72">
      <c r="A72" t="str">
        <v>27591</v>
      </c>
      <c r="B72" t="str">
        <v>GYRE THERAPEUTICS INC (NEW)</v>
      </c>
      <c r="C72" s="3">
        <v>45530</v>
      </c>
      <c r="D72" s="3">
        <v>45530</v>
      </c>
      <c r="E72" t="str">
        <v>CEDE-FAST</v>
      </c>
      <c r="F72" t="str">
        <v>-</v>
      </c>
      <c r="G72" t="str">
        <v>0015</v>
      </c>
      <c r="H72" s="1">
        <v>480</v>
      </c>
      <c r="I72" s="2">
        <v>0</v>
      </c>
      <c r="J72" s="1">
        <v>93424664</v>
      </c>
      <c r="K72" t="str">
        <v>DIR # CA 49 Wu</v>
      </c>
    </row>
    <row r="73">
      <c r="A73" t="str">
        <v>27591</v>
      </c>
      <c r="B73" t="str">
        <v>GYRE THERAPEUTICS INC (NEW)</v>
      </c>
      <c r="C73" s="3">
        <v>45531</v>
      </c>
      <c r="D73" s="3">
        <v>45531</v>
      </c>
      <c r="E73" t="str">
        <v>CEDE-FAST</v>
      </c>
      <c r="F73" t="str">
        <v>-</v>
      </c>
      <c r="G73" t="str">
        <v>0015</v>
      </c>
      <c r="H73" s="1">
        <v>17020</v>
      </c>
      <c r="I73" s="2">
        <v>0</v>
      </c>
      <c r="J73" s="1">
        <v>93441684</v>
      </c>
      <c r="K73" t="str">
        <v>DIR # CA 50 Wu</v>
      </c>
      <c r="L73" s="1">
        <f>SUM(H72:I73)</f>
        <v>17500</v>
      </c>
    </row>
    <row r="74">
      <c r="A74" t="str">
        <v>27591</v>
      </c>
      <c r="B74" t="str">
        <v>GYRE</v>
      </c>
      <c r="C74" s="3">
        <v>45547</v>
      </c>
      <c r="D74" s="3">
        <v>45547</v>
      </c>
      <c r="E74" t="str">
        <v>CEDE-FAST</v>
      </c>
      <c r="F74" t="str">
        <v>-</v>
      </c>
      <c r="G74" t="str">
        <v>0015</v>
      </c>
      <c r="H74" s="1">
        <v>5007</v>
      </c>
      <c r="I74" s="2">
        <v>0</v>
      </c>
      <c r="J74" s="1">
        <v>93446691</v>
      </c>
      <c r="K74" t="str">
        <v>DIR # CA 51 Wu</v>
      </c>
    </row>
    <row r="75">
      <c r="A75" t="str">
        <v>27591</v>
      </c>
      <c r="B75" t="str">
        <v>GYRE</v>
      </c>
      <c r="C75" s="3">
        <v>45548</v>
      </c>
      <c r="D75" s="3">
        <v>45548</v>
      </c>
      <c r="E75" t="str">
        <v>CEDE-FAST</v>
      </c>
      <c r="F75" t="str">
        <v>-</v>
      </c>
      <c r="G75" t="str">
        <v>0015</v>
      </c>
      <c r="H75" s="1">
        <v>2035</v>
      </c>
      <c r="I75" s="2">
        <v>0</v>
      </c>
      <c r="J75" s="1">
        <v>93448726</v>
      </c>
      <c r="K75" t="str">
        <v>DIR # CA 52 Wu</v>
      </c>
    </row>
    <row r="76">
      <c r="A76" t="str">
        <v>27591</v>
      </c>
      <c r="B76" t="str">
        <v>GYRE</v>
      </c>
      <c r="C76" s="3">
        <v>45552</v>
      </c>
      <c r="D76" s="3">
        <v>45552</v>
      </c>
      <c r="E76" t="str">
        <v>CEDE-FAST</v>
      </c>
      <c r="F76" t="str">
        <v>-</v>
      </c>
      <c r="G76" t="str">
        <v>0015</v>
      </c>
      <c r="H76" s="1">
        <v>9239</v>
      </c>
      <c r="I76" s="2">
        <v>0</v>
      </c>
      <c r="J76" s="1">
        <v>93457965</v>
      </c>
      <c r="K76" t="str">
        <v>DIR # CA 53 Wu</v>
      </c>
    </row>
    <row r="77">
      <c r="A77" t="str">
        <v>27591</v>
      </c>
      <c r="B77" t="str">
        <v>GYRE</v>
      </c>
      <c r="C77" s="3">
        <v>45553</v>
      </c>
      <c r="D77" s="3">
        <v>45553</v>
      </c>
      <c r="E77" t="str">
        <v>CEDE-FAST</v>
      </c>
      <c r="F77" t="str">
        <v>-</v>
      </c>
      <c r="G77" t="str">
        <v>0015</v>
      </c>
      <c r="H77" s="1">
        <v>9199</v>
      </c>
      <c r="I77" s="2">
        <v>0</v>
      </c>
      <c r="J77" s="1">
        <v>93467164</v>
      </c>
      <c r="K77" t="str">
        <v>DIR # CA 54 Wu</v>
      </c>
    </row>
    <row r="78">
      <c r="A78" t="str">
        <v>27591</v>
      </c>
      <c r="B78" t="str">
        <v>GYRE</v>
      </c>
      <c r="C78" s="3">
        <v>45554</v>
      </c>
      <c r="D78" s="3">
        <v>45554</v>
      </c>
      <c r="E78" t="str">
        <v>CEDE-FAST</v>
      </c>
      <c r="F78" t="str">
        <v>-</v>
      </c>
      <c r="G78" t="str">
        <v>0015</v>
      </c>
      <c r="H78" s="1">
        <v>3824</v>
      </c>
      <c r="I78" s="2">
        <v>0</v>
      </c>
      <c r="J78" s="1">
        <v>93470988</v>
      </c>
      <c r="K78" t="str">
        <v>DIR # CA 55 Wu</v>
      </c>
      <c r="L78" s="1">
        <f>SUM(H74:I78)</f>
        <v>29304</v>
      </c>
    </row>
    <row r="79">
      <c r="A79">
        <v>27591</v>
      </c>
      <c r="B79" t="str">
        <v>GYRE</v>
      </c>
      <c r="C79" s="3">
        <v>45569</v>
      </c>
      <c r="D79" s="3">
        <v>45569</v>
      </c>
      <c r="E79" t="str">
        <v>CEDE-FAST</v>
      </c>
      <c r="F79" t="str">
        <v>-</v>
      </c>
      <c r="G79">
        <v>15</v>
      </c>
      <c r="H79" s="4">
        <v>1866</v>
      </c>
      <c r="I79" s="2">
        <v>0</v>
      </c>
      <c r="J79" s="4">
        <v>93472854</v>
      </c>
      <c r="K79" t="str">
        <v>DIR # CA 56 Usman</v>
      </c>
    </row>
    <row r="80">
      <c r="A80">
        <v>27591</v>
      </c>
      <c r="B80" t="str">
        <v>GYRE</v>
      </c>
      <c r="C80" s="3">
        <v>45572</v>
      </c>
      <c r="D80" s="3">
        <v>45572</v>
      </c>
      <c r="E80" t="str">
        <v>CEDE-FAST</v>
      </c>
      <c r="F80" t="str">
        <v>-</v>
      </c>
      <c r="G80">
        <v>15</v>
      </c>
      <c r="H80" s="4">
        <v>5021</v>
      </c>
      <c r="I80" s="2">
        <v>0</v>
      </c>
      <c r="J80" s="4">
        <v>93477875</v>
      </c>
      <c r="K80" t="str">
        <v>DIR # CA 57 (Usman 1,500) ( Charles 3,521)</v>
      </c>
    </row>
    <row r="81">
      <c r="A81">
        <v>27591</v>
      </c>
      <c r="B81" t="str">
        <v>GYRE</v>
      </c>
      <c r="C81" s="3">
        <v>45573</v>
      </c>
      <c r="D81" s="3">
        <v>45573</v>
      </c>
      <c r="E81" t="str">
        <v>CEDE-FAST</v>
      </c>
      <c r="F81" t="str">
        <v>-</v>
      </c>
      <c r="G81">
        <v>15</v>
      </c>
      <c r="H81" s="4">
        <v>1405</v>
      </c>
      <c r="I81" s="2">
        <v>0</v>
      </c>
      <c r="J81" s="4">
        <v>93479280</v>
      </c>
      <c r="K81" t="str">
        <v>DIR # CA 58 Charles</v>
      </c>
    </row>
    <row r="82">
      <c r="A82">
        <v>27591</v>
      </c>
      <c r="B82" t="str">
        <v>GYRE</v>
      </c>
      <c r="C82" s="3">
        <v>45581</v>
      </c>
      <c r="D82" s="3">
        <v>45581</v>
      </c>
      <c r="E82" t="str">
        <v>CEDE-FAST</v>
      </c>
      <c r="F82" t="str">
        <v>-</v>
      </c>
      <c r="G82">
        <v>15</v>
      </c>
      <c r="H82" s="4">
        <v>5050</v>
      </c>
      <c r="I82" s="2">
        <v>0</v>
      </c>
      <c r="J82" s="4">
        <v>93484330</v>
      </c>
      <c r="K82" t="str">
        <v>DIR # CA 59 (Usman 2,000) ( Charles 3,050)</v>
      </c>
    </row>
    <row r="83">
      <c r="A83">
        <v>27591</v>
      </c>
      <c r="B83" t="str">
        <v>GYRE</v>
      </c>
      <c r="C83" s="3">
        <v>45582</v>
      </c>
      <c r="D83" s="3">
        <v>45582</v>
      </c>
      <c r="E83" t="str">
        <v>CEDE-FAST</v>
      </c>
      <c r="F83" t="str">
        <v>-</v>
      </c>
      <c r="G83">
        <v>15</v>
      </c>
      <c r="H83" s="4">
        <v>2587</v>
      </c>
      <c r="I83" s="2">
        <v>0</v>
      </c>
      <c r="J83" s="4">
        <v>93486917</v>
      </c>
      <c r="K83" t="str">
        <v>DIR # CA 60 (Usman 2,000) ( Charles 587)</v>
      </c>
    </row>
    <row r="84">
      <c r="A84">
        <v>27591</v>
      </c>
      <c r="B84" t="str">
        <v>GYRE</v>
      </c>
      <c r="C84" s="3">
        <v>45583</v>
      </c>
      <c r="D84" s="3">
        <v>45583</v>
      </c>
      <c r="E84" t="str">
        <v>CEDE-FAST</v>
      </c>
      <c r="F84" t="str">
        <v>-</v>
      </c>
      <c r="G84">
        <v>15</v>
      </c>
      <c r="H84" s="4">
        <v>621</v>
      </c>
      <c r="I84" s="2">
        <v>0</v>
      </c>
      <c r="J84" s="4">
        <v>93487538</v>
      </c>
      <c r="K84" t="str">
        <v>DIR # CA 61 Charles</v>
      </c>
    </row>
    <row r="85">
      <c r="A85">
        <v>27591</v>
      </c>
      <c r="B85" t="str">
        <v>GYRE</v>
      </c>
      <c r="C85" s="3">
        <v>45586</v>
      </c>
      <c r="D85" s="3">
        <v>45586</v>
      </c>
      <c r="E85" t="str">
        <v>CEDE-FAST</v>
      </c>
      <c r="F85" t="str">
        <v>-</v>
      </c>
      <c r="G85">
        <v>15</v>
      </c>
      <c r="H85" s="4">
        <v>3612</v>
      </c>
      <c r="I85" s="2">
        <v>0</v>
      </c>
      <c r="J85" s="4">
        <v>93491150</v>
      </c>
      <c r="K85" t="str">
        <v>DIR # CA 62 Charles</v>
      </c>
    </row>
    <row r="86">
      <c r="A86">
        <v>27591</v>
      </c>
      <c r="B86" t="str">
        <v>GYRE</v>
      </c>
      <c r="C86" s="3">
        <v>45587</v>
      </c>
      <c r="D86" s="3">
        <v>45587</v>
      </c>
      <c r="E86" t="str">
        <v>CEDE-FAST</v>
      </c>
      <c r="F86" t="str">
        <v>-</v>
      </c>
      <c r="G86">
        <v>15</v>
      </c>
      <c r="H86" s="4">
        <v>2180</v>
      </c>
      <c r="I86" s="2">
        <v>0</v>
      </c>
      <c r="J86" s="4">
        <v>93493330</v>
      </c>
      <c r="K86" t="str">
        <v>DIR # CA 63 (Usman 2,000) ( Charles 180)</v>
      </c>
    </row>
    <row r="87">
      <c r="A87">
        <v>27591</v>
      </c>
      <c r="B87" t="str">
        <v>GYRE</v>
      </c>
      <c r="C87" s="3">
        <v>45589</v>
      </c>
      <c r="D87" s="3">
        <v>45589</v>
      </c>
      <c r="E87" t="str">
        <v>CEDE-FAST</v>
      </c>
      <c r="F87" t="str">
        <v>-</v>
      </c>
      <c r="G87">
        <v>15</v>
      </c>
      <c r="H87" s="4">
        <v>844</v>
      </c>
      <c r="I87" s="2">
        <v>0</v>
      </c>
      <c r="J87" s="4">
        <v>93494174</v>
      </c>
      <c r="K87" t="str">
        <v>DIR # CA 64 Usman</v>
      </c>
    </row>
    <row r="88">
      <c r="A88">
        <v>27591</v>
      </c>
      <c r="B88" t="str">
        <v>GYRE</v>
      </c>
      <c r="C88" s="3">
        <v>45590</v>
      </c>
      <c r="D88" s="3">
        <v>45590</v>
      </c>
      <c r="E88" t="str">
        <v>CEDE-FAST</v>
      </c>
      <c r="F88" t="str">
        <v>-</v>
      </c>
      <c r="G88">
        <v>15</v>
      </c>
      <c r="H88" s="4">
        <v>4156</v>
      </c>
      <c r="I88" s="2">
        <v>0</v>
      </c>
      <c r="J88" s="4">
        <v>93498330</v>
      </c>
      <c r="K88" t="str">
        <v>DIR # CA 65 Usman</v>
      </c>
    </row>
    <row r="89">
      <c r="A89">
        <v>27591</v>
      </c>
      <c r="B89" t="str">
        <v>GYRE</v>
      </c>
      <c r="C89" s="3">
        <v>45593</v>
      </c>
      <c r="D89" s="3">
        <v>45593</v>
      </c>
      <c r="E89" t="str">
        <v>CEDE-FAST</v>
      </c>
      <c r="F89" t="str">
        <v>-</v>
      </c>
      <c r="G89">
        <v>15</v>
      </c>
      <c r="H89" s="4">
        <v>4968</v>
      </c>
      <c r="I89" s="2">
        <v>0</v>
      </c>
      <c r="J89" s="4">
        <v>93503298</v>
      </c>
      <c r="K89" t="str">
        <v>DIR # CA 66 (Usman 2,000) ( Charles 2,968)</v>
      </c>
    </row>
    <row r="90">
      <c r="A90">
        <v>27591</v>
      </c>
      <c r="B90" t="str">
        <v>GYRE</v>
      </c>
      <c r="C90" s="3">
        <v>45594</v>
      </c>
      <c r="D90" s="3">
        <v>45594</v>
      </c>
      <c r="E90" t="str">
        <v>CEDE-FAST</v>
      </c>
      <c r="F90" t="str">
        <v>-</v>
      </c>
      <c r="G90">
        <v>15</v>
      </c>
      <c r="H90" s="4">
        <v>4810</v>
      </c>
      <c r="I90" s="2">
        <v>0</v>
      </c>
      <c r="J90" s="4">
        <v>93508108</v>
      </c>
      <c r="K90" t="str">
        <v>DIR # CA 67  (Usman 2,000) ( Charles 2,180)</v>
      </c>
      <c r="L90" s="1">
        <f>SUM(H79:I90)</f>
        <v>37120</v>
      </c>
    </row>
    <row r="91">
      <c r="A91" t="str">
        <v>27591</v>
      </c>
      <c r="B91" t="str">
        <v xml:space="preserve">GYRE </v>
      </c>
      <c r="C91" s="3">
        <v>45597</v>
      </c>
      <c r="D91" s="3">
        <v>45597</v>
      </c>
      <c r="E91" t="str">
        <v>CEDE-FAST</v>
      </c>
      <c r="F91" t="str">
        <v>-</v>
      </c>
      <c r="G91" t="str">
        <v>0015</v>
      </c>
      <c r="H91" s="4">
        <v>3100</v>
      </c>
      <c r="I91" s="2">
        <v>0</v>
      </c>
      <c r="J91" s="4">
        <v>93511208</v>
      </c>
      <c r="K91" t="str">
        <v>DIR # CA 68 (Usman 2,000) (Charles 1,100)</v>
      </c>
    </row>
    <row r="92">
      <c r="A92" t="str">
        <v>27591</v>
      </c>
      <c r="B92" t="str">
        <v xml:space="preserve">GYRE </v>
      </c>
      <c r="C92" s="3">
        <v>45600</v>
      </c>
      <c r="D92" s="3">
        <v>45600</v>
      </c>
      <c r="E92" t="str">
        <v>CEDE-FAST</v>
      </c>
      <c r="F92" t="str">
        <v>-</v>
      </c>
      <c r="G92" t="str">
        <v>0015</v>
      </c>
      <c r="H92" s="4">
        <v>3200</v>
      </c>
      <c r="I92" s="2">
        <v>0</v>
      </c>
      <c r="J92" s="4">
        <v>93514408</v>
      </c>
      <c r="K92" t="str">
        <v>DIR # CA 69 (Usman 2,000) ( Charles 1,200)</v>
      </c>
    </row>
    <row r="93">
      <c r="A93" t="str">
        <v>27591</v>
      </c>
      <c r="B93" t="str">
        <v xml:space="preserve">GYRE </v>
      </c>
      <c r="C93" s="3">
        <v>45601</v>
      </c>
      <c r="D93" s="3">
        <v>45601</v>
      </c>
      <c r="E93" t="str">
        <v>CEDE-FAST</v>
      </c>
      <c r="F93" t="str">
        <v>-</v>
      </c>
      <c r="G93" t="str">
        <v>0015</v>
      </c>
      <c r="H93" s="4">
        <v>1922</v>
      </c>
      <c r="I93" s="2">
        <v>0</v>
      </c>
      <c r="J93" s="4">
        <v>93516330</v>
      </c>
      <c r="K93" t="str">
        <v>DIR # CA 70 (Charles 1,922)</v>
      </c>
    </row>
    <row r="94">
      <c r="A94" t="str">
        <v>27591</v>
      </c>
      <c r="B94" t="str">
        <v xml:space="preserve">GYRE </v>
      </c>
      <c r="C94" s="3">
        <v>45602</v>
      </c>
      <c r="D94" s="3">
        <v>45602</v>
      </c>
      <c r="E94" t="str">
        <v>CEDE-FAST</v>
      </c>
      <c r="F94" t="str">
        <v>-</v>
      </c>
      <c r="G94" t="str">
        <v>0015</v>
      </c>
      <c r="H94" s="4">
        <v>1000</v>
      </c>
      <c r="I94" s="2">
        <v>0</v>
      </c>
      <c r="J94" s="4">
        <v>93517330</v>
      </c>
      <c r="K94" t="str">
        <v>DIR # CA 71 (Usman 1,000)</v>
      </c>
    </row>
    <row r="95">
      <c r="A95" t="str">
        <v>27591</v>
      </c>
      <c r="B95" t="str">
        <v xml:space="preserve">GYRE </v>
      </c>
      <c r="C95" s="3">
        <v>45603</v>
      </c>
      <c r="D95" s="3">
        <v>45603</v>
      </c>
      <c r="E95" t="str">
        <v>CEDE-FAST</v>
      </c>
      <c r="F95" t="str">
        <v>-</v>
      </c>
      <c r="G95" t="str">
        <v>0015</v>
      </c>
      <c r="H95" s="4">
        <v>3000</v>
      </c>
      <c r="I95" s="2">
        <v>0</v>
      </c>
      <c r="J95" s="4">
        <v>93520330</v>
      </c>
      <c r="K95" t="str">
        <v>DIR #: CA 72 (Usman 3,000)</v>
      </c>
    </row>
    <row r="96">
      <c r="A96" t="str">
        <v>27591</v>
      </c>
      <c r="B96" t="str">
        <v xml:space="preserve">GYRE </v>
      </c>
      <c r="C96" s="3">
        <v>45604</v>
      </c>
      <c r="D96" s="3">
        <v>45604</v>
      </c>
      <c r="E96" t="str">
        <v>CEDE-FAST</v>
      </c>
      <c r="F96" t="str">
        <v>-</v>
      </c>
      <c r="G96" t="str">
        <v>0015</v>
      </c>
      <c r="H96" s="4">
        <v>1104</v>
      </c>
      <c r="I96" s="2">
        <v>0</v>
      </c>
      <c r="J96" s="4">
        <v>93521434</v>
      </c>
      <c r="K96" t="str">
        <v>DIR # CA 73 (Usman 1,104)</v>
      </c>
    </row>
    <row r="97">
      <c r="A97" t="str">
        <v>27591</v>
      </c>
      <c r="B97" t="str">
        <v xml:space="preserve">GYRE </v>
      </c>
      <c r="C97" s="3">
        <v>45608</v>
      </c>
      <c r="D97" s="3">
        <v>45608</v>
      </c>
      <c r="E97" t="str">
        <v>CEDE-FAST</v>
      </c>
      <c r="F97" t="str">
        <v>-</v>
      </c>
      <c r="G97" t="str">
        <v>0015</v>
      </c>
      <c r="H97" s="4">
        <v>8896</v>
      </c>
      <c r="I97" s="2">
        <v>0</v>
      </c>
      <c r="J97" s="4">
        <v>93530330</v>
      </c>
      <c r="K97" t="str">
        <v>DIR # CA 74 (Usman 3,896) (Charles 5,000)</v>
      </c>
    </row>
    <row r="98">
      <c r="A98" t="str">
        <v>27591</v>
      </c>
      <c r="B98" t="str">
        <v xml:space="preserve">GYRE </v>
      </c>
      <c r="C98" s="3">
        <v>45609</v>
      </c>
      <c r="D98" s="3">
        <v>45609</v>
      </c>
      <c r="E98" t="str">
        <v>CEDE-FAST</v>
      </c>
      <c r="F98" t="str">
        <v>-</v>
      </c>
      <c r="G98" t="str">
        <v>0015</v>
      </c>
      <c r="H98" s="4">
        <v>1845</v>
      </c>
      <c r="I98" s="2">
        <v>0</v>
      </c>
      <c r="J98" s="4">
        <v>93532175</v>
      </c>
      <c r="K98" t="str">
        <v>DIR # CA 75 (Usman 1,445) (Errol 400)</v>
      </c>
      <c r="L98" s="1">
        <f>SUM(H91:H98)</f>
        <v>24067</v>
      </c>
    </row>
    <row r="99">
      <c r="A99" t="str">
        <v>27591</v>
      </c>
      <c r="B99" t="str">
        <v xml:space="preserve">GYRE </v>
      </c>
      <c r="C99" s="3">
        <v>45632</v>
      </c>
      <c r="D99" s="3">
        <v>45632</v>
      </c>
      <c r="E99" t="str">
        <v>CEDE-FAST</v>
      </c>
      <c r="F99" t="str">
        <v>-</v>
      </c>
      <c r="G99" t="str">
        <v>0019</v>
      </c>
      <c r="H99" s="1">
        <v>6300</v>
      </c>
      <c r="I99" s="2">
        <v>0</v>
      </c>
      <c r="J99" s="4">
        <v>93538475</v>
      </c>
      <c r="K99" t="str">
        <v>ATM</v>
      </c>
    </row>
    <row r="100">
      <c r="A100" t="str">
        <v>27591</v>
      </c>
      <c r="B100" t="str">
        <v xml:space="preserve">GYRE </v>
      </c>
      <c r="C100" s="3">
        <v>45632</v>
      </c>
      <c r="D100" s="3">
        <v>45632</v>
      </c>
      <c r="E100" t="str">
        <v>CEDE-FAST</v>
      </c>
      <c r="F100" t="str">
        <v>-</v>
      </c>
      <c r="G100" t="str">
        <v>0019</v>
      </c>
      <c r="H100" s="1">
        <v>4649</v>
      </c>
      <c r="I100" s="2">
        <v>0</v>
      </c>
      <c r="J100" s="4">
        <v>93543124</v>
      </c>
      <c r="K100" t="str">
        <v>ATM</v>
      </c>
    </row>
    <row r="101">
      <c r="A101" t="str">
        <v>27591</v>
      </c>
      <c r="B101" t="str">
        <v xml:space="preserve">GYRE </v>
      </c>
      <c r="C101" s="3">
        <v>45635</v>
      </c>
      <c r="D101" s="3">
        <v>45635</v>
      </c>
      <c r="E101" t="str">
        <v>CEDE-FAST</v>
      </c>
      <c r="F101" t="str">
        <v>-</v>
      </c>
      <c r="G101" t="str">
        <v>0019</v>
      </c>
      <c r="H101" s="1">
        <v>19065</v>
      </c>
      <c r="I101" s="2">
        <v>0</v>
      </c>
      <c r="J101" s="4">
        <v>93562189</v>
      </c>
      <c r="K101" t="str">
        <v>ATM</v>
      </c>
    </row>
    <row r="102">
      <c r="A102" t="str">
        <v>27591</v>
      </c>
      <c r="B102" t="str">
        <v xml:space="preserve">GYRE </v>
      </c>
      <c r="C102" s="3">
        <v>45636</v>
      </c>
      <c r="D102" s="3">
        <v>45636</v>
      </c>
      <c r="E102" t="str">
        <v>CEDE-FAST</v>
      </c>
      <c r="F102" t="str">
        <v>-</v>
      </c>
      <c r="G102" t="str">
        <v>0019</v>
      </c>
      <c r="H102" s="1">
        <v>6986</v>
      </c>
      <c r="I102" s="2">
        <v>0</v>
      </c>
      <c r="J102" s="4">
        <v>93569175</v>
      </c>
      <c r="K102" t="str">
        <v>ATM</v>
      </c>
    </row>
    <row r="103">
      <c r="A103" t="str">
        <v>27591</v>
      </c>
      <c r="B103" t="str">
        <v xml:space="preserve">GYRE </v>
      </c>
      <c r="C103" s="3">
        <v>45637</v>
      </c>
      <c r="D103" s="3">
        <v>45637</v>
      </c>
      <c r="E103" t="str">
        <v>CEDE-FAST</v>
      </c>
      <c r="F103" t="str">
        <v>-</v>
      </c>
      <c r="G103" t="str">
        <v>0015</v>
      </c>
      <c r="H103" s="1">
        <v>2000</v>
      </c>
      <c r="I103" s="2">
        <v>0</v>
      </c>
      <c r="J103" s="4">
        <v>93571175</v>
      </c>
      <c r="K103" t="str">
        <v>DIR # CA 76 (Lin Han,2000)</v>
      </c>
    </row>
    <row r="104">
      <c r="A104" t="str">
        <v>27591</v>
      </c>
      <c r="B104" t="str">
        <v xml:space="preserve">GYRE </v>
      </c>
      <c r="C104" s="3">
        <v>45637</v>
      </c>
      <c r="D104" s="3">
        <v>45637</v>
      </c>
      <c r="E104" t="str">
        <v>CEDE-FAST</v>
      </c>
      <c r="F104" t="str">
        <v>-</v>
      </c>
      <c r="G104" t="str">
        <v>0019</v>
      </c>
      <c r="H104" s="1">
        <v>12249</v>
      </c>
      <c r="I104" s="2">
        <v>0</v>
      </c>
      <c r="J104" s="4">
        <v>93583424</v>
      </c>
      <c r="K104" t="str">
        <v>ATM</v>
      </c>
    </row>
    <row r="105">
      <c r="A105" t="str">
        <v>27591</v>
      </c>
      <c r="B105" t="str">
        <v xml:space="preserve">GYRE </v>
      </c>
      <c r="C105" s="3">
        <v>45638</v>
      </c>
      <c r="D105" s="3">
        <v>45638</v>
      </c>
      <c r="E105" t="str">
        <v>CEDE-FAST</v>
      </c>
      <c r="F105" t="str">
        <v>-</v>
      </c>
      <c r="G105" t="str">
        <v>0019</v>
      </c>
      <c r="H105" s="1">
        <v>700</v>
      </c>
      <c r="I105" s="2">
        <v>0</v>
      </c>
      <c r="J105" s="4">
        <v>93584124</v>
      </c>
      <c r="K105" t="str">
        <v>ATM</v>
      </c>
    </row>
    <row r="106">
      <c r="A106" t="str">
        <v>27591</v>
      </c>
      <c r="B106" t="str">
        <v xml:space="preserve">GYRE </v>
      </c>
      <c r="C106" s="3">
        <v>45639</v>
      </c>
      <c r="D106" s="3">
        <v>45639</v>
      </c>
      <c r="E106" t="str">
        <v>CEDE-FAST</v>
      </c>
      <c r="F106" t="str">
        <v>-</v>
      </c>
      <c r="G106" t="str">
        <v>0019</v>
      </c>
      <c r="H106" s="1">
        <v>8174</v>
      </c>
      <c r="I106" s="2">
        <v>0</v>
      </c>
      <c r="J106" s="4">
        <v>93592298</v>
      </c>
      <c r="K106" t="str">
        <v>ATM</v>
      </c>
    </row>
    <row r="107">
      <c r="A107" t="str">
        <v>27591</v>
      </c>
      <c r="B107" t="str">
        <v xml:space="preserve">GYRE </v>
      </c>
      <c r="C107" s="3">
        <v>45642</v>
      </c>
      <c r="D107" s="3">
        <v>45642</v>
      </c>
      <c r="E107" t="str">
        <v>CEDE-FAST</v>
      </c>
      <c r="F107" t="str">
        <v>-</v>
      </c>
      <c r="G107" t="str">
        <v>0019</v>
      </c>
      <c r="H107" s="1">
        <v>728</v>
      </c>
      <c r="I107" s="2">
        <v>0</v>
      </c>
      <c r="J107" s="4">
        <v>93593026</v>
      </c>
      <c r="K107" t="str">
        <v>ATM</v>
      </c>
    </row>
    <row r="108">
      <c r="A108" t="str">
        <v>27591</v>
      </c>
      <c r="B108" t="str">
        <v xml:space="preserve">GYRE </v>
      </c>
      <c r="C108" s="3">
        <v>45643</v>
      </c>
      <c r="D108" s="3">
        <v>45643</v>
      </c>
      <c r="E108" t="str">
        <v>CEDE-FAST</v>
      </c>
      <c r="F108" t="str">
        <v>-</v>
      </c>
      <c r="G108" t="str">
        <v>0015</v>
      </c>
      <c r="H108" s="1">
        <v>8000</v>
      </c>
      <c r="I108" s="2">
        <v>0</v>
      </c>
      <c r="J108" s="4">
        <v>93601026</v>
      </c>
      <c r="K108" t="str">
        <v>DIR # CA 77 (Lin Han, 8000)</v>
      </c>
    </row>
    <row r="109">
      <c r="A109" t="str">
        <v>27591</v>
      </c>
      <c r="B109" t="str">
        <v xml:space="preserve">GYRE </v>
      </c>
      <c r="C109" s="3">
        <v>45644</v>
      </c>
      <c r="D109" s="3">
        <v>45644</v>
      </c>
      <c r="E109" t="str">
        <v>CEDE-FAST</v>
      </c>
      <c r="F109" t="str">
        <v>-</v>
      </c>
      <c r="G109" t="str">
        <v>0019</v>
      </c>
      <c r="H109" s="1">
        <v>11416</v>
      </c>
      <c r="I109" s="2">
        <v>0</v>
      </c>
      <c r="J109" s="4">
        <v>93612442</v>
      </c>
      <c r="K109" t="str">
        <v>ATM</v>
      </c>
      <c r="L109" s="1">
        <f>SUM(H99:H109)</f>
        <v>80267</v>
      </c>
    </row>
    <row r="110">
      <c r="A110" t="str">
        <v>27591</v>
      </c>
      <c r="B110" t="str">
        <v xml:space="preserve">GYRE </v>
      </c>
      <c r="C110" s="3">
        <v>45741</v>
      </c>
      <c r="D110" s="3">
        <v>45741</v>
      </c>
      <c r="E110" t="str">
        <v>CEDE-FAST</v>
      </c>
      <c r="F110" t="str">
        <v>-</v>
      </c>
      <c r="G110" t="str">
        <v>0019</v>
      </c>
      <c r="H110" s="1">
        <v>54734</v>
      </c>
      <c r="I110" s="2">
        <v>0</v>
      </c>
      <c r="J110" s="4">
        <v>93667176</v>
      </c>
      <c r="K110" t="str">
        <v>ATM</v>
      </c>
      <c r="L110" s="1">
        <f>H110</f>
        <v>54734</v>
      </c>
    </row>
    <row r="111">
      <c r="A111" t="str">
        <v>27591</v>
      </c>
      <c r="B111" t="str">
        <v xml:space="preserve">GYRE </v>
      </c>
      <c r="C111" s="3">
        <v>45748</v>
      </c>
      <c r="D111" s="3">
        <v>45748</v>
      </c>
      <c r="E111" t="str">
        <v>CEDE-FAST</v>
      </c>
      <c r="F111" t="str">
        <v>-</v>
      </c>
      <c r="G111" t="str">
        <v>0015</v>
      </c>
      <c r="H111" s="4">
        <v>75426</v>
      </c>
      <c r="I111" s="2">
        <v>0</v>
      </c>
      <c r="J111" s="4">
        <v>93742602</v>
      </c>
      <c r="K111" t="str">
        <v>DIR # CA 78 (Seline Miller 75,426)</v>
      </c>
    </row>
    <row r="112">
      <c r="A112" t="str">
        <v>27591</v>
      </c>
      <c r="B112" t="str">
        <v xml:space="preserve">GYRE </v>
      </c>
      <c r="C112" s="3">
        <v>45768</v>
      </c>
      <c r="D112" s="3">
        <v>45768</v>
      </c>
      <c r="E112" t="str">
        <v>CEDE-FAST</v>
      </c>
      <c r="F112" t="str">
        <v>-</v>
      </c>
      <c r="G112" t="str">
        <v>0015</v>
      </c>
      <c r="H112" s="4">
        <v>15000</v>
      </c>
      <c r="I112" s="2">
        <v>0</v>
      </c>
      <c r="J112" s="4">
        <v>93757602</v>
      </c>
      <c r="K112" t="str">
        <v>DIR # CA 79 (Eastling 15,000)</v>
      </c>
      <c r="L112" s="4">
        <f>SUM(H111:H112)</f>
        <v>90426</v>
      </c>
    </row>
    <row r="113">
      <c r="A113" t="str">
        <v>27591</v>
      </c>
      <c r="B113" t="str">
        <v>GYRE</v>
      </c>
      <c r="C113" s="3">
        <v>45804</v>
      </c>
      <c r="D113" s="3">
        <v>45804</v>
      </c>
      <c r="E113" t="str">
        <v>Cede-Fast</v>
      </c>
      <c r="F113" t="str">
        <v>-</v>
      </c>
      <c r="G113" t="str">
        <v>-</v>
      </c>
      <c r="H113" s="4">
        <v>2222222</v>
      </c>
      <c r="I113" s="2">
        <v>0</v>
      </c>
      <c r="J113" s="4">
        <v>95979824</v>
      </c>
      <c r="K113" t="str">
        <v>Pro sup</v>
      </c>
    </row>
    <row r="114">
      <c r="A114" t="str">
        <v>27591</v>
      </c>
      <c r="B114" t="str">
        <v>GYRE</v>
      </c>
      <c r="C114" s="3">
        <v>45806</v>
      </c>
      <c r="D114" s="3">
        <v>45806</v>
      </c>
      <c r="E114" t="str">
        <v>Cede-Fast</v>
      </c>
      <c r="F114" t="str">
        <v>-</v>
      </c>
      <c r="G114" t="str">
        <v>-</v>
      </c>
      <c r="H114" s="4">
        <v>333333</v>
      </c>
      <c r="I114" s="2">
        <v>0</v>
      </c>
      <c r="J114" s="4">
        <v>96313157</v>
      </c>
      <c r="K114" t="str">
        <v>Greenshoes proceeds</v>
      </c>
      <c r="L114" s="4">
        <f>SUM(H113:H114)</f>
        <v>2555555</v>
      </c>
    </row>
    <row r="115">
      <c r="A115" t="str">
        <v>27591</v>
      </c>
      <c r="B115" t="str">
        <v>GYRE</v>
      </c>
      <c r="C115" s="3">
        <v>45895</v>
      </c>
      <c r="D115" s="3">
        <v>45895</v>
      </c>
      <c r="E115" t="str">
        <v>CEDE-FAST</v>
      </c>
      <c r="F115" t="str">
        <v>-</v>
      </c>
      <c r="G115" t="str">
        <v>0015</v>
      </c>
      <c r="H115" s="1">
        <v>5000</v>
      </c>
      <c r="I115" s="2">
        <v>0</v>
      </c>
      <c r="J115" s="4">
        <v>96318157</v>
      </c>
      <c r="K115" t="str">
        <v>DIR # CA 80 (Lin Han, 5000)</v>
      </c>
    </row>
    <row r="116">
      <c r="A116" t="str">
        <v>27591</v>
      </c>
      <c r="B116" t="str">
        <v>GYRE</v>
      </c>
      <c r="C116" s="3">
        <v>45897</v>
      </c>
      <c r="D116" s="3">
        <v>45897</v>
      </c>
      <c r="E116" t="str">
        <v>CEDE-FAST</v>
      </c>
      <c r="F116" t="str">
        <v>-</v>
      </c>
      <c r="G116" t="str">
        <v>0015</v>
      </c>
      <c r="H116" s="1">
        <v>5000</v>
      </c>
      <c r="I116" s="2">
        <v>0</v>
      </c>
      <c r="J116" s="4">
        <v>96323157</v>
      </c>
      <c r="K116" t="str">
        <v>DIR # CA 81 (Lin Han, 5000)</v>
      </c>
    </row>
    <row r="117">
      <c r="A117" t="str">
        <v>27591</v>
      </c>
      <c r="B117" t="str">
        <v>GYRE</v>
      </c>
      <c r="C117" s="3">
        <v>45898</v>
      </c>
      <c r="D117" s="3">
        <v>45898</v>
      </c>
      <c r="E117" t="str">
        <v>CEDE-FAST</v>
      </c>
      <c r="F117" t="str">
        <v>-</v>
      </c>
      <c r="G117" t="str">
        <v>0015</v>
      </c>
      <c r="H117" s="1">
        <v>5000</v>
      </c>
      <c r="I117" s="2">
        <v>0</v>
      </c>
      <c r="J117" s="4">
        <v>96328157</v>
      </c>
      <c r="K117" t="str">
        <v>DIR # CA 82 (Lin Han, 5000)</v>
      </c>
      <c r="L117" s="4">
        <f>SUM(H115:H117)</f>
        <v>15000</v>
      </c>
    </row>
    <row r="118">
      <c r="A118" t="str">
        <v>27591</v>
      </c>
      <c r="B118" t="str">
        <v>GYRE</v>
      </c>
      <c r="C118" s="3">
        <v>45902</v>
      </c>
      <c r="D118" s="3">
        <v>45902</v>
      </c>
      <c r="E118" t="str">
        <v>CEDE-FAST</v>
      </c>
      <c r="F118" t="str">
        <v>-</v>
      </c>
      <c r="G118" t="str">
        <v>0015</v>
      </c>
      <c r="H118" s="1">
        <v>5000</v>
      </c>
      <c r="I118" s="2">
        <v>0</v>
      </c>
      <c r="J118" s="4">
        <v>96333157</v>
      </c>
      <c r="K118" t="str">
        <v>DIR # CA 83 (Lin Han, 5000)</v>
      </c>
      <c r="L118" s="4">
        <f>H118</f>
        <v>5000</v>
      </c>
    </row>
    <row r="119">
      <c r="A119" t="str">
        <v>27591</v>
      </c>
      <c r="B119" t="str">
        <v>GYRE</v>
      </c>
      <c r="C119" s="3">
        <v>45994</v>
      </c>
      <c r="D119" s="3">
        <v>46001</v>
      </c>
      <c r="E119" t="str">
        <v>O.I.</v>
      </c>
      <c r="F119" t="str">
        <v>-</v>
      </c>
      <c r="G119" t="str">
        <v>-</v>
      </c>
      <c r="H119" s="1">
        <v>568797</v>
      </c>
      <c r="I119" s="2">
        <v>0</v>
      </c>
      <c r="J119" s="4">
        <v>96901954</v>
      </c>
      <c r="K119" t="str">
        <v>Omnibus Inc. Pl.</v>
      </c>
      <c r="L119" s="4">
        <f>H119</f>
        <v>568797</v>
      </c>
    </row>
    <row r="120">
      <c r="A120" t="str">
        <v>27591</v>
      </c>
      <c r="B120" t="str">
        <v>GYRE</v>
      </c>
      <c r="C120" s="3">
        <v>46042</v>
      </c>
      <c r="D120" s="3">
        <v>46049</v>
      </c>
      <c r="E120" t="str">
        <v>BOOK ENTRY ISSUANCE</v>
      </c>
      <c r="G120" t="str">
        <v>0000010072</v>
      </c>
      <c r="H120" s="1">
        <v>61657</v>
      </c>
      <c r="J120" s="4">
        <v>96963611</v>
      </c>
      <c r="K120" t="str">
        <v>Omnibus Inc. Pl.</v>
      </c>
      <c r="L120" s="4">
        <v>61657</v>
      </c>
    </row>
    <row r="121">
      <c r="A121" t="str">
        <v>27591</v>
      </c>
      <c r="B121" t="str">
        <v>GYRE</v>
      </c>
      <c r="C121" s="3">
        <v>46098</v>
      </c>
      <c r="D121" s="3">
        <v>46100</v>
      </c>
      <c r="E121" t="str">
        <v>O.I.</v>
      </c>
      <c r="F121" t="str">
        <v>-</v>
      </c>
      <c r="G121" t="str">
        <v>-</v>
      </c>
      <c r="H121" s="1">
        <v>30390</v>
      </c>
      <c r="I121" s="2">
        <v>0</v>
      </c>
      <c r="J121" s="4">
        <v>96994001</v>
      </c>
      <c r="K121" t="str">
        <v>Omnibus Inc. Pl</v>
      </c>
      <c r="L121" s="1">
        <f>H121</f>
        <v>30390</v>
      </c>
    </row>
    <row r="122">
      <c r="A122" t="str">
        <v>27591</v>
      </c>
      <c r="B122" t="str">
        <v>GYRE</v>
      </c>
      <c r="C122" s="3">
        <v>46136</v>
      </c>
      <c r="D122" s="3">
        <v>46141</v>
      </c>
      <c r="E122" t="str">
        <v>O.I.</v>
      </c>
      <c r="F122" t="str">
        <v>-</v>
      </c>
      <c r="G122" t="str">
        <v>-</v>
      </c>
      <c r="H122" s="4">
        <v>34321</v>
      </c>
      <c r="I122" s="4">
        <v>0</v>
      </c>
      <c r="J122" s="4">
        <v>97028322</v>
      </c>
      <c r="K122" t="str">
        <v>Omnibus Inc. Pl</v>
      </c>
      <c r="L122" s="1">
        <f>H122</f>
        <v>34321</v>
      </c>
    </row>
    <row r="123">
      <c r="A123" t="str">
        <v>27591</v>
      </c>
      <c r="B123" t="str">
        <v>GYRE</v>
      </c>
      <c r="C123" s="3">
        <v>46146</v>
      </c>
      <c r="D123" s="3">
        <v>46157</v>
      </c>
      <c r="E123" t="str">
        <v>Agr. &amp; Pl. of Merger</v>
      </c>
      <c r="F123" t="str">
        <v>-</v>
      </c>
      <c r="G123" t="str">
        <v>-</v>
      </c>
      <c r="H123" s="4">
        <v>14450527</v>
      </c>
      <c r="I123" s="2">
        <v>0</v>
      </c>
      <c r="J123" s="4">
        <v>111478849</v>
      </c>
      <c r="K123" t="str">
        <v>-</v>
      </c>
    </row>
    <row r="124">
      <c r="A124" t="str">
        <v>27591</v>
      </c>
      <c r="B124" t="str">
        <v>GYRE</v>
      </c>
      <c r="C124" s="3">
        <v>46171</v>
      </c>
      <c r="D124" s="3">
        <v>46171</v>
      </c>
      <c r="E124" t="str">
        <v>CEDE-FAST</v>
      </c>
      <c r="F124" t="str">
        <v>-</v>
      </c>
      <c r="G124" t="str">
        <v>0015</v>
      </c>
      <c r="H124" s="4">
        <v>10000</v>
      </c>
      <c r="I124" s="2">
        <v>0</v>
      </c>
      <c r="J124" s="4">
        <v>111488849</v>
      </c>
      <c r="K124" t="str">
        <v>DIR # CA 84 Lin Han</v>
      </c>
      <c r="L124" s="4">
        <f>J124-J122</f>
        <v>14460527</v>
      </c>
    </row>
  </sheetData>
  <pageMargins left="0.39370078740157477" right="0.39370078740157477" top="0.39370078740157477" bottom="1" header="0.5" footer="0.5"/>
  <ignoredErrors>
    <ignoredError numberStoredAsText="1" sqref="A1:L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 Control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