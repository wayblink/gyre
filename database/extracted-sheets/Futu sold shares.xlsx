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tu sold shares" sheetId="1" r:id="rId1"/>
  </sheets>
</workbook>
</file>

<file path=xl/comments1.xml><?xml version="1.0" encoding="utf-8"?>
<comments xmlns="http://schemas.openxmlformats.org/spreadsheetml/2006/main">
  <authors>
    <author>tc={B129CFE3-074E-4A06-A28F-39A17018E316}</author>
  </authors>
  <commentList>
    <comment ref="D37" author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Please add report inquiry screenshot.
Reply:
    SL: Added.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8">
    <numFmt numFmtId="41" formatCode="_ * #,##0_ ;_ * \-#,##0_ ;_ * &quot;-&quot;_ ;_ @_ "/>
    <numFmt numFmtId="42" formatCode="_ &quot;￥&quot;* #,##0_ ;_ &quot;￥&quot;* \-#,##0_ ;_ &quot;￥&quot;* &quot;-&quot;_ ;_ @_ "/>
    <numFmt numFmtId="56" formatCode="&quot;上午/下午 &quot;hh&quot;時&quot;mm&quot;分&quot;ss&quot;秒 &quot;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* #,##0_);_(* \(#,##0\);_(* &quot;-&quot;??_);_(@_)"/>
    <numFmt numFmtId="180" formatCode="mm/dd/yyyy"/>
    <numFmt numFmtId="181" formatCode="#,##0.000;[Red]\(#,##0.000\)"/>
    <numFmt numFmtId="182" formatCode="\&lt;0.00\1;[Red]\&lt;\(0.00\1\);0.000"/>
    <numFmt numFmtId="183" formatCode="#,##0.00;[Red]\(#,##0.00\)"/>
    <numFmt numFmtId="184" formatCode="\&lt;0.0\1;[Red]\&lt;\(0.0\1\);0.00"/>
    <numFmt numFmtId="185" formatCode="dd\-mmm\-yyyy"/>
    <numFmt numFmtId="186" formatCode="#,##0;[Red]\(#,##0\)"/>
    <numFmt numFmtId="187" formatCode="_ * #,##0_ ;_ * \-#,##0_ ;_ * &quot;-&quot;??_ ;_ @_ "/>
    <numFmt numFmtId="188" formatCode="#,###,###,###,###,###,###,###,###,###,###,###,###,###,###,###,###,###,###,###,###,###,###,###,###,###,###,###,###,###,###,###,###,##0"/>
    <numFmt numFmtId="189" formatCode="&quot;$&quot;#,###,###,###,###,###,###,###,###,###,###,###,###,###,###,###,###,###,###,###,###,###,###,###,###,###,###,###,###,###,###,###,###,##0.00####"/>
    <numFmt numFmtId="190" formatCode="_-* #,##0.00_-;\-* #,##0.00_-;_-* &quot;-&quot;??_-;_-@_-"/>
    <numFmt numFmtId="191" formatCode="0.000%"/>
    <numFmt numFmtId="192" formatCode="0.0%"/>
    <numFmt numFmtId="193" formatCode="_(* #,##0.000_);_(* \(#,##0.000\);_(* &quot;-&quot;???_);_(@_)"/>
    <numFmt numFmtId="194" formatCode="_-* #,##0.000_-;\-* #,##0.000_-;_-* &quot;-&quot;???_-;_-@_-"/>
    <numFmt numFmtId="195" formatCode="[$-409]mmmm\ d\,\ yyyy;@"/>
    <numFmt numFmtId="196" formatCode="_(&quot;$&quot;* #,##0_);_(&quot;$&quot;* \(#,##0\);_(&quot;$&quot;* &quot;-&quot;??_);_(@_)"/>
    <numFmt numFmtId="197" formatCode="#,##0.0000\x;\(#,##0.0000\)\x"/>
    <numFmt numFmtId="198" formatCode="#,###"/>
    <numFmt numFmtId="199" formatCode="&quot;$&quot;#,##0.00#############"/>
    <numFmt numFmtId="200" formatCode="_(* #,##0.0000_);_(* \(#,##0.00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9"/>
  <sheetViews>
    <sheetView workbookViewId="0"/>
  </sheetViews>
  <cols>
    <col min="1" max="1" customWidth="1" width="7.66346153846154"/>
    <col min="2" max="2" customWidth="1" width="15.3846153846154"/>
    <col min="3" max="3" customWidth="1" width="17.1442307692308"/>
    <col min="4" max="4" customWidth="1" width="15.5576923076923"/>
    <col min="5" max="5" customWidth="1" width="9.88461538461538"/>
    <col min="6" max="6" customWidth="1" width="14.3365384615385"/>
    <col min="7" max="7" customWidth="1" width="16.4423076923077"/>
    <col min="8" max="8" customWidth="1" width="12"/>
    <col min="9" max="9" customWidth="1" width="12"/>
    <col min="10" max="10" customWidth="1" width="20.8846153846154"/>
    <col min="11" max="11" customWidth="1" width="34.3365384615385"/>
    <col min="12" max="12" customWidth="1" width="34.3365384615385"/>
    <col min="13" max="13" customWidth="1" width="20.8846153846154"/>
    <col min="14" max="14" customWidth="1" width="18.6634615384615"/>
    <col min="15" max="15" customWidth="1" width="18.6634615384615"/>
    <col min="16" max="16" customWidth="1" width="26.4423076923077"/>
    <col min="17" max="17" customWidth="1" width="27.5576923076923"/>
    <col min="18" max="18" customWidth="1" width="29.6634615384615"/>
    <col min="19" max="19" customWidth="1" width="18.3365384615385"/>
  </cols>
  <sheetData>
    <row r="1" ht="16.8" customHeight="1">
      <c r="A1" t="str">
        <v>姓名</v>
      </c>
      <c r="B1" t="str">
        <v>工号</v>
      </c>
      <c r="C1" t="str">
        <v>牛牛号</v>
      </c>
      <c r="D1" t="str">
        <v>用户ID</v>
      </c>
      <c r="E1" t="str">
        <v>在职状态</v>
      </c>
      <c r="F1" t="str">
        <v>关联人士身份</v>
      </c>
      <c r="G1" t="str">
        <v>财产转让所得税</v>
      </c>
      <c r="H1" t="str">
        <v>出售总数量</v>
      </c>
      <c r="I1" t="str">
        <v>成交总数量</v>
      </c>
      <c r="J1" t="str">
        <v>成交总金额（美元）</v>
      </c>
      <c r="K1" t="str">
        <v>财产转让所得总应税收入（美元）</v>
      </c>
      <c r="L1" t="str">
        <v>财产转让所得总应纳税额（美元）</v>
      </c>
      <c r="M1" t="str">
        <v>交易总费用（美元）</v>
      </c>
      <c r="N1" t="str">
        <v>成交净值（美元）</v>
      </c>
      <c r="O1" t="str">
        <v>授予成本（美元）</v>
      </c>
      <c r="P1" t="str">
        <v>行权/归属手续费（美元）</v>
      </c>
      <c r="Q1" t="str">
        <v>本期合计代扣税额（美元）</v>
      </c>
      <c r="R1" t="str">
        <v>本期合计代扣税额（人民币）</v>
      </c>
      <c r="S1" t="str">
        <v>现金净收益(美元)</v>
      </c>
    </row>
    <row r="2" ht="16.8" customHeight="1">
      <c r="A2" t="str">
        <v>李巍</v>
      </c>
      <c r="B2" t="str">
        <v>K00003</v>
      </c>
      <c r="C2" t="str">
        <v>26219737</v>
      </c>
      <c r="D2" t="str">
        <v>12942000006</v>
      </c>
      <c r="E2" t="str">
        <v>在职</v>
      </c>
      <c r="F2" t="str">
        <v>否</v>
      </c>
      <c r="G2" t="str">
        <v>员工可见</v>
      </c>
      <c r="H2" s="1">
        <v>9899</v>
      </c>
      <c r="I2" s="1">
        <v>9899</v>
      </c>
      <c r="J2" s="2">
        <v>100726.68</v>
      </c>
      <c r="K2" s="2">
        <v>0</v>
      </c>
      <c r="L2" s="2">
        <v>0</v>
      </c>
      <c r="M2" s="2">
        <v>131.51</v>
      </c>
      <c r="N2" s="2">
        <v>100595.17</v>
      </c>
      <c r="O2" s="2">
        <v>15750</v>
      </c>
      <c r="P2" s="2">
        <v>0</v>
      </c>
      <c r="Q2" s="2">
        <v>55038.4</v>
      </c>
      <c r="R2" s="2">
        <v>392271.53</v>
      </c>
      <c r="S2" s="2">
        <v>29806.77</v>
      </c>
    </row>
    <row r="3" ht="16.8" customHeight="1">
      <c r="A3" t="str">
        <v>何星辉</v>
      </c>
      <c r="B3" t="str">
        <v>K00105</v>
      </c>
      <c r="C3" t="str">
        <v>26789748</v>
      </c>
      <c r="D3" t="str">
        <v>12942000041</v>
      </c>
      <c r="E3" t="str">
        <v>在职</v>
      </c>
      <c r="F3" t="str">
        <v>否</v>
      </c>
      <c r="G3" t="str">
        <v>员工可见</v>
      </c>
      <c r="H3" s="1">
        <v>6899</v>
      </c>
      <c r="I3" s="1">
        <v>6899</v>
      </c>
      <c r="J3" s="2">
        <v>87501.78</v>
      </c>
      <c r="K3" s="2">
        <v>0</v>
      </c>
      <c r="L3" s="2">
        <v>0</v>
      </c>
      <c r="M3" s="2">
        <v>92.63</v>
      </c>
      <c r="N3" s="2">
        <v>87409.15</v>
      </c>
      <c r="O3" s="2">
        <v>12781.5</v>
      </c>
      <c r="P3" s="2">
        <v>0</v>
      </c>
      <c r="Q3" s="2">
        <v>62809.47</v>
      </c>
      <c r="R3" s="2">
        <v>449372.92</v>
      </c>
      <c r="S3" s="2">
        <v>11818.18</v>
      </c>
    </row>
    <row r="4" ht="16.8" customHeight="1">
      <c r="A4" t="str">
        <v>褚振辉</v>
      </c>
      <c r="B4" t="str">
        <v>K00125</v>
      </c>
      <c r="C4" t="str">
        <v>26415741</v>
      </c>
      <c r="D4" t="str">
        <v>12942000034</v>
      </c>
      <c r="E4" t="str">
        <v>在职</v>
      </c>
      <c r="F4" t="str">
        <v>否</v>
      </c>
      <c r="G4" t="str">
        <v>员工可见</v>
      </c>
      <c r="H4" s="1">
        <v>10573</v>
      </c>
      <c r="I4" s="1">
        <v>10573</v>
      </c>
      <c r="J4" s="2">
        <v>98033.61</v>
      </c>
      <c r="K4" s="2">
        <v>0</v>
      </c>
      <c r="L4" s="2">
        <v>0</v>
      </c>
      <c r="M4" s="2">
        <v>140.11</v>
      </c>
      <c r="N4" s="2">
        <v>97893.5</v>
      </c>
      <c r="O4" s="2">
        <v>18000</v>
      </c>
      <c r="P4" s="2">
        <v>0</v>
      </c>
      <c r="Q4" s="2">
        <v>57350.7</v>
      </c>
      <c r="R4" s="2">
        <v>412143.57</v>
      </c>
      <c r="S4" s="2">
        <v>22542.8</v>
      </c>
    </row>
    <row r="5" ht="16.8" customHeight="1">
      <c r="A5" t="str">
        <v>朱庆梅</v>
      </c>
      <c r="B5" t="str">
        <v>K00126</v>
      </c>
      <c r="C5" t="str">
        <v>26311403</v>
      </c>
      <c r="D5" t="str">
        <v>12942000025</v>
      </c>
      <c r="E5" t="str">
        <v>在职</v>
      </c>
      <c r="F5" t="str">
        <v>否</v>
      </c>
      <c r="G5" t="str">
        <v>员工可见</v>
      </c>
      <c r="H5" s="1">
        <v>3041</v>
      </c>
      <c r="I5" s="1">
        <v>3041</v>
      </c>
      <c r="J5" s="2">
        <v>25028.67</v>
      </c>
      <c r="K5" s="2">
        <v>0</v>
      </c>
      <c r="L5" s="2">
        <v>0</v>
      </c>
      <c r="M5" s="2">
        <v>39.9</v>
      </c>
      <c r="N5" s="2">
        <v>24988.77</v>
      </c>
      <c r="O5" s="2">
        <v>7500</v>
      </c>
      <c r="P5" s="2">
        <v>0</v>
      </c>
      <c r="Q5" s="2">
        <v>15614.45</v>
      </c>
      <c r="R5" s="2">
        <v>112186.7</v>
      </c>
      <c r="S5" s="2">
        <v>1874.32</v>
      </c>
    </row>
    <row r="6" ht="16.8" customHeight="1">
      <c r="A6" t="str">
        <v>赵荣</v>
      </c>
      <c r="B6" t="str">
        <v>K00161</v>
      </c>
      <c r="C6" t="str">
        <v>26368561</v>
      </c>
      <c r="D6" t="str">
        <v>12942000018</v>
      </c>
      <c r="E6" t="str">
        <v>在职</v>
      </c>
      <c r="F6" t="str">
        <v>否</v>
      </c>
      <c r="G6" t="str">
        <v>员工可见</v>
      </c>
      <c r="H6" s="1">
        <v>18000</v>
      </c>
      <c r="I6" s="1">
        <v>18000</v>
      </c>
      <c r="J6" s="2">
        <v>186223.1</v>
      </c>
      <c r="K6" s="2">
        <v>12418.87</v>
      </c>
      <c r="L6" s="2">
        <v>2483.78</v>
      </c>
      <c r="M6" s="2">
        <v>238.39</v>
      </c>
      <c r="N6" s="2">
        <v>185984.71</v>
      </c>
      <c r="O6" s="2">
        <v>6000</v>
      </c>
      <c r="P6" s="2">
        <v>0</v>
      </c>
      <c r="Q6" s="2">
        <v>19905.42</v>
      </c>
      <c r="R6" s="2">
        <v>142720.1</v>
      </c>
      <c r="S6" s="2">
        <v>160079.29</v>
      </c>
    </row>
    <row r="7" ht="16.8" customHeight="1">
      <c r="A7" t="str">
        <v>闫瑞萍</v>
      </c>
      <c r="B7" t="str">
        <v>K00182</v>
      </c>
      <c r="C7" t="str">
        <v>28680089</v>
      </c>
      <c r="D7" t="str">
        <v>12942000051</v>
      </c>
      <c r="E7" t="str">
        <v>在职</v>
      </c>
      <c r="F7" t="str">
        <v>否</v>
      </c>
      <c r="G7" t="str">
        <v>员工可见</v>
      </c>
      <c r="H7" s="1">
        <v>44718</v>
      </c>
      <c r="I7" s="1">
        <v>44718</v>
      </c>
      <c r="J7" s="2">
        <v>373406.97</v>
      </c>
      <c r="K7" s="2">
        <v>0</v>
      </c>
      <c r="L7" s="2">
        <v>0</v>
      </c>
      <c r="M7" s="2">
        <v>586.67</v>
      </c>
      <c r="N7" s="2">
        <v>372820.3</v>
      </c>
      <c r="O7" s="2">
        <v>60000</v>
      </c>
      <c r="P7" s="2">
        <v>0</v>
      </c>
      <c r="Q7" s="2">
        <v>259920</v>
      </c>
      <c r="R7" s="2">
        <v>1867473.21</v>
      </c>
      <c r="S7" s="2">
        <v>52900.3</v>
      </c>
    </row>
    <row r="8" ht="16.8" customHeight="1">
      <c r="A8" t="str">
        <v>樊雪</v>
      </c>
      <c r="B8" t="str">
        <v>K00218</v>
      </c>
      <c r="C8" t="str">
        <v>26793836</v>
      </c>
      <c r="D8" t="str">
        <v>12942000046</v>
      </c>
      <c r="E8" t="str">
        <v>离职</v>
      </c>
      <c r="F8" t="str">
        <v>否</v>
      </c>
      <c r="G8" t="str">
        <v>员工可见</v>
      </c>
      <c r="H8" s="1">
        <v>9468</v>
      </c>
      <c r="I8" s="1">
        <v>9468</v>
      </c>
      <c r="J8" s="2">
        <v>111603.65</v>
      </c>
      <c r="K8" s="2">
        <v>0</v>
      </c>
      <c r="L8" s="2">
        <v>0</v>
      </c>
      <c r="M8" s="2">
        <v>126.98</v>
      </c>
      <c r="N8" s="2">
        <v>111476.67</v>
      </c>
      <c r="O8" s="2">
        <v>7101</v>
      </c>
      <c r="P8" s="2">
        <v>0</v>
      </c>
      <c r="Q8" s="2">
        <v>29293.42</v>
      </c>
      <c r="R8" s="2">
        <v>210552.29</v>
      </c>
      <c r="S8" s="2">
        <v>75082.25</v>
      </c>
    </row>
    <row r="9" ht="16.8" customHeight="1">
      <c r="A9" t="str">
        <v>曹琳</v>
      </c>
      <c r="B9" t="str">
        <v>K00220</v>
      </c>
      <c r="C9" t="str">
        <v>26597991</v>
      </c>
      <c r="D9" t="str">
        <v>12942000042</v>
      </c>
      <c r="E9" t="str">
        <v>在职</v>
      </c>
      <c r="F9" t="str">
        <v>否</v>
      </c>
      <c r="G9" t="str">
        <v>员工可见</v>
      </c>
      <c r="H9" s="1">
        <v>36285</v>
      </c>
      <c r="I9" s="1">
        <v>36285</v>
      </c>
      <c r="J9" s="2">
        <v>424864.79</v>
      </c>
      <c r="K9" s="2">
        <v>0</v>
      </c>
      <c r="L9" s="2">
        <v>0</v>
      </c>
      <c r="M9" s="2">
        <v>488.51</v>
      </c>
      <c r="N9" s="2">
        <v>424376.28</v>
      </c>
      <c r="O9" s="2">
        <v>27213.75</v>
      </c>
      <c r="P9" s="2">
        <v>0</v>
      </c>
      <c r="Q9" s="2">
        <v>143867.86</v>
      </c>
      <c r="R9" s="2">
        <v>1032792.45</v>
      </c>
      <c r="S9" s="2">
        <v>253294.67</v>
      </c>
    </row>
    <row r="10" ht="16.8" customHeight="1">
      <c r="A10" t="str">
        <v>何红伟</v>
      </c>
      <c r="B10" t="str">
        <v>K00235</v>
      </c>
      <c r="C10" t="str">
        <v>26729055</v>
      </c>
      <c r="D10" t="str">
        <v>12942000058</v>
      </c>
      <c r="E10" t="str">
        <v>在职</v>
      </c>
      <c r="F10" t="str">
        <v>否</v>
      </c>
      <c r="G10" t="str">
        <v>员工可见</v>
      </c>
      <c r="H10" s="1">
        <v>192075</v>
      </c>
      <c r="I10" s="1">
        <v>165600</v>
      </c>
      <c r="J10" s="2">
        <v>1336788.95</v>
      </c>
      <c r="K10" s="2">
        <v>4730.75</v>
      </c>
      <c r="L10" s="2">
        <v>946.16</v>
      </c>
      <c r="M10" s="2">
        <v>2181.46</v>
      </c>
      <c r="N10" s="2">
        <v>1334607.49</v>
      </c>
      <c r="O10" s="2">
        <v>34399.5</v>
      </c>
      <c r="P10" s="2">
        <v>0</v>
      </c>
      <c r="Q10" s="2">
        <v>143554.97</v>
      </c>
      <c r="R10" s="2">
        <v>1018947.54</v>
      </c>
      <c r="S10" s="2">
        <v>1156653.02</v>
      </c>
    </row>
    <row r="11" ht="16.8" customHeight="1">
      <c r="A11" t="str">
        <v>于小越</v>
      </c>
      <c r="B11" t="str">
        <v>K00236</v>
      </c>
      <c r="C11" t="str">
        <v>26735376</v>
      </c>
      <c r="D11" t="str">
        <v>12942000045</v>
      </c>
      <c r="E11" t="str">
        <v>在职</v>
      </c>
      <c r="F11" t="str">
        <v>否</v>
      </c>
      <c r="G11" t="str">
        <v>员工可见</v>
      </c>
      <c r="H11" s="1">
        <v>27006</v>
      </c>
      <c r="I11" s="1">
        <v>26418</v>
      </c>
      <c r="J11" s="2">
        <v>220334.95</v>
      </c>
      <c r="K11" s="2">
        <v>17.92</v>
      </c>
      <c r="L11" s="2">
        <v>3.58</v>
      </c>
      <c r="M11" s="2">
        <v>356.51</v>
      </c>
      <c r="N11" s="2">
        <v>219978.44</v>
      </c>
      <c r="O11" s="2">
        <v>10051.5</v>
      </c>
      <c r="P11" s="2">
        <v>0</v>
      </c>
      <c r="Q11" s="2">
        <v>38680.59</v>
      </c>
      <c r="R11" s="2">
        <v>275264.12</v>
      </c>
      <c r="S11" s="2">
        <v>171246.35</v>
      </c>
    </row>
    <row r="12" ht="16.8" customHeight="1">
      <c r="A12" t="str">
        <v>胡帅</v>
      </c>
      <c r="B12" t="str">
        <v>K00245</v>
      </c>
      <c r="C12" t="str">
        <v>26479081</v>
      </c>
      <c r="D12" t="str">
        <v>12942000002</v>
      </c>
      <c r="E12" t="str">
        <v>在职</v>
      </c>
      <c r="F12" t="str">
        <v>否</v>
      </c>
      <c r="G12" t="str">
        <v>员工可见</v>
      </c>
      <c r="H12" s="1">
        <v>252</v>
      </c>
      <c r="I12" s="1">
        <v>252</v>
      </c>
      <c r="J12" s="2">
        <v>2623.4</v>
      </c>
      <c r="K12" s="2">
        <v>0</v>
      </c>
      <c r="L12" s="2">
        <v>0</v>
      </c>
      <c r="M12" s="2">
        <v>3.36</v>
      </c>
      <c r="N12" s="2">
        <v>2620.04</v>
      </c>
      <c r="O12" s="2">
        <v>1200</v>
      </c>
      <c r="P12" s="2">
        <v>0</v>
      </c>
      <c r="Q12" s="2">
        <v>1203.8</v>
      </c>
      <c r="R12" s="2">
        <v>8652.56</v>
      </c>
      <c r="S12" s="2">
        <v>216.24</v>
      </c>
    </row>
    <row r="13" ht="16.8" customHeight="1">
      <c r="A13" t="str">
        <v>冯伟卫</v>
      </c>
      <c r="B13" t="str">
        <v>K00263</v>
      </c>
      <c r="C13" t="str">
        <v>26467750</v>
      </c>
      <c r="D13" t="str">
        <v>12942000001</v>
      </c>
      <c r="E13" t="str">
        <v>在职</v>
      </c>
      <c r="F13" t="str">
        <v>否</v>
      </c>
      <c r="G13" t="str">
        <v>员工可见</v>
      </c>
      <c r="H13" s="1">
        <v>44740</v>
      </c>
      <c r="I13" s="1">
        <v>44740</v>
      </c>
      <c r="J13" s="2">
        <v>478016.81</v>
      </c>
      <c r="K13" s="2">
        <v>0</v>
      </c>
      <c r="L13" s="2">
        <v>0</v>
      </c>
      <c r="M13" s="2">
        <v>596.96</v>
      </c>
      <c r="N13" s="2">
        <v>477419.85</v>
      </c>
      <c r="O13" s="2">
        <v>23137.5</v>
      </c>
      <c r="P13" s="2">
        <v>0</v>
      </c>
      <c r="Q13" s="2">
        <v>126440.1</v>
      </c>
      <c r="R13" s="2">
        <v>905941.76</v>
      </c>
      <c r="S13" s="2">
        <v>327842.25</v>
      </c>
    </row>
    <row r="14" ht="16.8" customHeight="1">
      <c r="A14" t="str">
        <v>王斌</v>
      </c>
      <c r="B14" t="str">
        <v>K00267</v>
      </c>
      <c r="C14" t="str">
        <v>26397643</v>
      </c>
      <c r="D14" t="str">
        <v>12942000020</v>
      </c>
      <c r="E14" t="str">
        <v>离职</v>
      </c>
      <c r="F14" t="str">
        <v>否</v>
      </c>
      <c r="G14" t="str">
        <v>员工可见</v>
      </c>
      <c r="H14" s="1">
        <v>6042</v>
      </c>
      <c r="I14" s="1">
        <v>6042</v>
      </c>
      <c r="J14" s="2">
        <v>65560.9</v>
      </c>
      <c r="K14" s="2">
        <v>0</v>
      </c>
      <c r="L14" s="2">
        <v>0</v>
      </c>
      <c r="M14" s="2">
        <v>80.92</v>
      </c>
      <c r="N14" s="2">
        <v>65479.98</v>
      </c>
      <c r="O14" s="2">
        <v>0</v>
      </c>
      <c r="P14" s="2">
        <v>0</v>
      </c>
      <c r="Q14" s="2">
        <v>0</v>
      </c>
      <c r="R14" s="2">
        <v>0</v>
      </c>
      <c r="S14" s="2">
        <v>65479.98</v>
      </c>
    </row>
    <row r="15" ht="16.8" customHeight="1">
      <c r="A15" t="str">
        <v>刘兆辉</v>
      </c>
      <c r="B15" t="str">
        <v>K00285</v>
      </c>
      <c r="C15" t="str">
        <v>26288323</v>
      </c>
      <c r="D15" t="str">
        <v>12942000013</v>
      </c>
      <c r="E15" t="str">
        <v>在职</v>
      </c>
      <c r="F15" t="str">
        <v>否</v>
      </c>
      <c r="G15" t="str">
        <v>员工可见</v>
      </c>
      <c r="H15" s="1">
        <v>89895</v>
      </c>
      <c r="I15" s="1">
        <v>87145</v>
      </c>
      <c r="J15" s="2">
        <v>967041.93</v>
      </c>
      <c r="K15" s="2">
        <v>31733.93</v>
      </c>
      <c r="L15" s="2">
        <v>6346.78</v>
      </c>
      <c r="M15" s="2">
        <v>1177.06</v>
      </c>
      <c r="N15" s="2">
        <v>965864.87</v>
      </c>
      <c r="O15" s="2">
        <v>53058.75</v>
      </c>
      <c r="P15" s="2">
        <v>0</v>
      </c>
      <c r="Q15" s="2">
        <v>322879.47</v>
      </c>
      <c r="R15" s="2">
        <v>2314173.69</v>
      </c>
      <c r="S15" s="2">
        <v>589926.65</v>
      </c>
    </row>
    <row r="16" ht="16.8" customHeight="1">
      <c r="A16" t="str">
        <v>汪雯</v>
      </c>
      <c r="B16" t="str">
        <v>K00287</v>
      </c>
      <c r="C16" t="str">
        <v>40001303</v>
      </c>
      <c r="D16" t="str">
        <v>12942000050</v>
      </c>
      <c r="E16" t="str">
        <v>在职</v>
      </c>
      <c r="F16" t="str">
        <v>否</v>
      </c>
      <c r="G16" t="str">
        <v>员工可见</v>
      </c>
      <c r="H16" s="1">
        <v>7053</v>
      </c>
      <c r="I16" s="1">
        <v>7053</v>
      </c>
      <c r="J16" s="2">
        <v>55850.99</v>
      </c>
      <c r="K16" s="2">
        <v>0</v>
      </c>
      <c r="L16" s="2">
        <v>0</v>
      </c>
      <c r="M16" s="2">
        <v>92.34</v>
      </c>
      <c r="N16" s="2">
        <v>55758.65</v>
      </c>
      <c r="O16" s="2">
        <v>5625</v>
      </c>
      <c r="P16" s="2">
        <v>0</v>
      </c>
      <c r="Q16" s="2">
        <v>19462.27</v>
      </c>
      <c r="R16" s="2">
        <v>137862.64</v>
      </c>
      <c r="S16" s="2">
        <v>30671.38</v>
      </c>
    </row>
    <row r="17" ht="16.8" customHeight="1">
      <c r="A17" t="str">
        <v>隋永杰</v>
      </c>
      <c r="B17" t="str">
        <v>K00306</v>
      </c>
      <c r="C17" t="str">
        <v>26291840</v>
      </c>
      <c r="D17" t="str">
        <v>12942000011</v>
      </c>
      <c r="E17" t="str">
        <v>离职</v>
      </c>
      <c r="F17" t="str">
        <v>否</v>
      </c>
      <c r="G17" t="str">
        <v>员工可见</v>
      </c>
      <c r="H17" s="1">
        <v>13035</v>
      </c>
      <c r="I17" s="1">
        <v>10100</v>
      </c>
      <c r="J17" s="2">
        <v>115082.25</v>
      </c>
      <c r="K17" s="2">
        <v>3026.88</v>
      </c>
      <c r="L17" s="2">
        <v>605.38</v>
      </c>
      <c r="M17" s="2">
        <v>134.49</v>
      </c>
      <c r="N17" s="2">
        <v>114947.76</v>
      </c>
      <c r="O17" s="2">
        <v>0</v>
      </c>
      <c r="P17" s="2">
        <v>0</v>
      </c>
      <c r="Q17" s="2">
        <v>0</v>
      </c>
      <c r="R17" s="2">
        <v>0</v>
      </c>
      <c r="S17" s="2">
        <v>114947.76</v>
      </c>
    </row>
    <row r="18" ht="16.8" customHeight="1">
      <c r="A18" t="str">
        <v>李晓莉</v>
      </c>
      <c r="B18" t="str">
        <v>K00307</v>
      </c>
      <c r="C18" t="str">
        <v>26277842</v>
      </c>
      <c r="D18" t="str">
        <v>12942000048</v>
      </c>
      <c r="E18" t="str">
        <v>在职</v>
      </c>
      <c r="F18" t="str">
        <v>否</v>
      </c>
      <c r="G18" t="str">
        <v>员工可见</v>
      </c>
      <c r="H18" s="1">
        <v>17936</v>
      </c>
      <c r="I18" s="1">
        <v>17936</v>
      </c>
      <c r="J18" s="2">
        <v>144452.6</v>
      </c>
      <c r="K18" s="2">
        <v>7150.25</v>
      </c>
      <c r="L18" s="2">
        <v>1430.04</v>
      </c>
      <c r="M18" s="2">
        <v>234.94</v>
      </c>
      <c r="N18" s="2">
        <v>144217.66</v>
      </c>
      <c r="O18" s="2">
        <v>0</v>
      </c>
      <c r="P18" s="2">
        <v>0</v>
      </c>
      <c r="Q18" s="2">
        <v>0</v>
      </c>
      <c r="R18" s="2">
        <v>0</v>
      </c>
      <c r="S18" s="2">
        <v>144217.66</v>
      </c>
    </row>
    <row r="19" ht="16.8" customHeight="1">
      <c r="A19" t="str">
        <v>张洪</v>
      </c>
      <c r="B19" t="str">
        <v>K00331</v>
      </c>
      <c r="C19" t="str">
        <v>26793941</v>
      </c>
      <c r="D19" t="str">
        <v>12942000030</v>
      </c>
      <c r="E19" t="str">
        <v>在职</v>
      </c>
      <c r="F19" t="str">
        <v>否</v>
      </c>
      <c r="G19" t="str">
        <v>员工可见</v>
      </c>
      <c r="H19" s="1">
        <v>85179</v>
      </c>
      <c r="I19" s="1">
        <v>66839</v>
      </c>
      <c r="J19" s="2">
        <v>731151.48</v>
      </c>
      <c r="K19" s="2">
        <v>31301.81</v>
      </c>
      <c r="L19" s="2">
        <v>6260.36</v>
      </c>
      <c r="M19" s="2">
        <v>893.17</v>
      </c>
      <c r="N19" s="2">
        <v>730258.31</v>
      </c>
      <c r="O19" s="2">
        <v>37124.25</v>
      </c>
      <c r="P19" s="2">
        <v>0</v>
      </c>
      <c r="Q19" s="2">
        <v>219149.99</v>
      </c>
      <c r="R19" s="2">
        <v>1569981.07</v>
      </c>
      <c r="S19" s="2">
        <v>473984.07</v>
      </c>
    </row>
    <row r="20" ht="16.8" customHeight="1">
      <c r="A20" t="str">
        <v>施宏</v>
      </c>
      <c r="B20" t="str">
        <v>K00352</v>
      </c>
      <c r="C20" t="str">
        <v>26365125</v>
      </c>
      <c r="D20" t="str">
        <v>12942000047</v>
      </c>
      <c r="E20" t="str">
        <v>在职</v>
      </c>
      <c r="F20" t="str">
        <v>否</v>
      </c>
      <c r="G20" t="str">
        <v>员工可见</v>
      </c>
      <c r="H20" s="1">
        <v>200</v>
      </c>
      <c r="I20" s="1">
        <v>200</v>
      </c>
      <c r="J20" s="2">
        <v>1685</v>
      </c>
      <c r="K20" s="2">
        <v>0</v>
      </c>
      <c r="L20" s="2">
        <v>0</v>
      </c>
      <c r="M20" s="2">
        <v>4.62</v>
      </c>
      <c r="N20" s="2">
        <v>1680.38</v>
      </c>
      <c r="O20" s="2">
        <v>150</v>
      </c>
      <c r="P20" s="2">
        <v>0</v>
      </c>
      <c r="Q20" s="2">
        <v>46.23</v>
      </c>
      <c r="R20" s="2">
        <v>332.15</v>
      </c>
      <c r="S20" s="2">
        <v>1484.15</v>
      </c>
    </row>
    <row r="21" ht="16.8" customHeight="1">
      <c r="A21" t="str">
        <v>田杨威</v>
      </c>
      <c r="B21" t="str">
        <v>K00353</v>
      </c>
      <c r="C21" t="str">
        <v>26571073</v>
      </c>
      <c r="D21" t="str">
        <v>12942000049</v>
      </c>
      <c r="E21" t="str">
        <v>在职</v>
      </c>
      <c r="F21" t="str">
        <v>否</v>
      </c>
      <c r="G21" t="str">
        <v>员工可见</v>
      </c>
      <c r="H21" s="1">
        <v>5500</v>
      </c>
      <c r="I21" s="1">
        <v>5500</v>
      </c>
      <c r="J21" s="2">
        <v>64516</v>
      </c>
      <c r="K21" s="2">
        <v>3913.82</v>
      </c>
      <c r="L21" s="2">
        <v>782.76</v>
      </c>
      <c r="M21" s="2">
        <v>73.62</v>
      </c>
      <c r="N21" s="2">
        <v>64442.38</v>
      </c>
      <c r="O21" s="2">
        <v>2625</v>
      </c>
      <c r="P21" s="2">
        <v>0</v>
      </c>
      <c r="Q21" s="2">
        <v>6847.07</v>
      </c>
      <c r="R21" s="2">
        <v>48699.06</v>
      </c>
      <c r="S21" s="2">
        <v>54970.31</v>
      </c>
    </row>
    <row r="22" ht="16.8" customHeight="1">
      <c r="A22" t="str">
        <v>朱雁岷</v>
      </c>
      <c r="B22" t="str">
        <v>K00364</v>
      </c>
      <c r="C22" t="str">
        <v>26800466</v>
      </c>
      <c r="D22" t="str">
        <v>12942000024</v>
      </c>
      <c r="E22" t="str">
        <v>离职</v>
      </c>
      <c r="F22" t="str">
        <v>否</v>
      </c>
      <c r="G22" t="str">
        <v>员工可见</v>
      </c>
      <c r="H22" s="1">
        <v>9468</v>
      </c>
      <c r="I22" s="1">
        <v>9468</v>
      </c>
      <c r="J22" s="2">
        <v>102318.55</v>
      </c>
      <c r="K22" s="2">
        <v>0</v>
      </c>
      <c r="L22" s="2">
        <v>0</v>
      </c>
      <c r="M22" s="2">
        <v>125.29</v>
      </c>
      <c r="N22" s="2">
        <v>102193.26</v>
      </c>
      <c r="O22" s="2">
        <v>7101</v>
      </c>
      <c r="P22" s="2">
        <v>0</v>
      </c>
      <c r="Q22" s="2">
        <v>28604.76</v>
      </c>
      <c r="R22" s="2">
        <v>203716.04</v>
      </c>
      <c r="S22" s="2">
        <v>66487.5</v>
      </c>
    </row>
    <row r="23" ht="16.8" customHeight="1">
      <c r="A23" t="str">
        <v>刘淇嘉</v>
      </c>
      <c r="B23" t="str">
        <v>K00373</v>
      </c>
      <c r="C23" t="str">
        <v>26559348</v>
      </c>
      <c r="D23" t="str">
        <v>12942000040</v>
      </c>
      <c r="E23" t="str">
        <v>离职</v>
      </c>
      <c r="F23" t="str">
        <v>否</v>
      </c>
      <c r="G23" t="str">
        <v>员工可见</v>
      </c>
      <c r="H23" s="1">
        <v>174259</v>
      </c>
      <c r="I23" s="1">
        <v>172016</v>
      </c>
      <c r="J23" s="2">
        <v>1374426.24</v>
      </c>
      <c r="K23" s="2">
        <v>0</v>
      </c>
      <c r="L23" s="2">
        <v>0</v>
      </c>
      <c r="M23" s="2">
        <v>2246.02</v>
      </c>
      <c r="N23" s="2">
        <v>1358868.22</v>
      </c>
      <c r="O23" s="2">
        <v>229908</v>
      </c>
      <c r="P23" s="2">
        <v>0</v>
      </c>
      <c r="Q23" s="2">
        <v>946535.99</v>
      </c>
      <c r="R23" s="2">
        <v>6705903.56</v>
      </c>
      <c r="S23" s="2">
        <v>182424.23</v>
      </c>
    </row>
    <row r="24" ht="16.8" customHeight="1">
      <c r="A24" t="str">
        <v>范玲娜</v>
      </c>
      <c r="B24" t="str">
        <v>K00381</v>
      </c>
      <c r="C24" t="str">
        <v>26241911</v>
      </c>
      <c r="D24" t="str">
        <v>12942000003</v>
      </c>
      <c r="E24" t="str">
        <v>离职</v>
      </c>
      <c r="F24" t="str">
        <v>否</v>
      </c>
      <c r="G24" t="str">
        <v>员工可见</v>
      </c>
      <c r="H24" s="1">
        <v>7368</v>
      </c>
      <c r="I24" s="1">
        <v>7368</v>
      </c>
      <c r="J24" s="2">
        <v>112598.41</v>
      </c>
      <c r="K24" s="2">
        <v>0</v>
      </c>
      <c r="L24" s="2">
        <v>0</v>
      </c>
      <c r="M24" s="2">
        <v>117.71</v>
      </c>
      <c r="N24" s="2">
        <v>112480.7</v>
      </c>
      <c r="O24" s="2">
        <v>7101</v>
      </c>
      <c r="P24" s="2">
        <v>0</v>
      </c>
      <c r="Q24" s="2">
        <v>30409.47</v>
      </c>
      <c r="R24" s="2">
        <v>216349.5</v>
      </c>
      <c r="S24" s="2">
        <v>74970.23</v>
      </c>
    </row>
    <row r="25" ht="16.8" customHeight="1">
      <c r="A25" t="str">
        <v>汪兰</v>
      </c>
      <c r="B25" t="str">
        <v>K00401</v>
      </c>
      <c r="C25" t="str">
        <v>26648271</v>
      </c>
      <c r="D25" t="str">
        <v>12942000054</v>
      </c>
      <c r="E25" t="str">
        <v>离职</v>
      </c>
      <c r="F25" t="str">
        <v>否</v>
      </c>
      <c r="G25" t="str">
        <v>员工可见</v>
      </c>
      <c r="H25" s="1">
        <v>9658</v>
      </c>
      <c r="I25" s="1">
        <v>9468</v>
      </c>
      <c r="J25" s="2">
        <v>104127.38</v>
      </c>
      <c r="K25" s="2">
        <v>0</v>
      </c>
      <c r="L25" s="2">
        <v>0</v>
      </c>
      <c r="M25" s="2">
        <v>130.45</v>
      </c>
      <c r="N25" s="2">
        <v>103996.93</v>
      </c>
      <c r="O25" s="2">
        <v>7101</v>
      </c>
      <c r="P25" s="2">
        <v>0</v>
      </c>
      <c r="Q25" s="2">
        <v>18403.93</v>
      </c>
      <c r="R25" s="2">
        <v>131837.56</v>
      </c>
      <c r="S25" s="2">
        <v>78492</v>
      </c>
    </row>
    <row r="26" ht="16.8" customHeight="1">
      <c r="A26" t="str">
        <v>庄金皓</v>
      </c>
      <c r="B26" t="str">
        <v>K00423</v>
      </c>
      <c r="C26" t="str">
        <v>26205428</v>
      </c>
      <c r="D26" t="str">
        <v>12942000037</v>
      </c>
      <c r="E26" t="str">
        <v>在职</v>
      </c>
      <c r="F26" t="str">
        <v>否</v>
      </c>
      <c r="G26" t="str">
        <v>员工可见</v>
      </c>
      <c r="H26" s="1">
        <v>8900</v>
      </c>
      <c r="I26" s="1">
        <v>8900</v>
      </c>
      <c r="J26" s="2">
        <v>69970.74</v>
      </c>
      <c r="K26" s="2">
        <v>0</v>
      </c>
      <c r="L26" s="2">
        <v>0</v>
      </c>
      <c r="M26" s="2">
        <v>116.62</v>
      </c>
      <c r="N26" s="2">
        <v>69854.12</v>
      </c>
      <c r="O26" s="2">
        <v>4125</v>
      </c>
      <c r="P26" s="2">
        <v>0</v>
      </c>
      <c r="Q26" s="2">
        <v>8715.8</v>
      </c>
      <c r="R26" s="2">
        <v>61698.28</v>
      </c>
      <c r="S26" s="2">
        <v>57013.32</v>
      </c>
    </row>
    <row r="27" ht="16.8" customHeight="1">
      <c r="A27" t="str">
        <v>陈建麒</v>
      </c>
      <c r="B27" t="str">
        <v>K00456</v>
      </c>
      <c r="C27" t="str">
        <v>26758648</v>
      </c>
      <c r="D27" t="str">
        <v>12942000015</v>
      </c>
      <c r="E27" t="str">
        <v>在职</v>
      </c>
      <c r="F27" t="str">
        <v>否</v>
      </c>
      <c r="G27" t="str">
        <v>员工可见</v>
      </c>
      <c r="H27" s="1">
        <v>3079</v>
      </c>
      <c r="I27" s="1">
        <v>3079</v>
      </c>
      <c r="J27" s="2">
        <v>36971.58</v>
      </c>
      <c r="K27" s="2">
        <v>0</v>
      </c>
      <c r="L27" s="2">
        <v>0</v>
      </c>
      <c r="M27" s="2">
        <v>41.28</v>
      </c>
      <c r="N27" s="2">
        <v>36930.3</v>
      </c>
      <c r="O27" s="2">
        <v>7101</v>
      </c>
      <c r="P27" s="2">
        <v>0</v>
      </c>
      <c r="Q27" s="2">
        <v>24227.16</v>
      </c>
      <c r="R27" s="2">
        <v>172618.54</v>
      </c>
      <c r="S27" s="2">
        <v>5602.14</v>
      </c>
    </row>
    <row r="28" ht="16.8" customHeight="1">
      <c r="A28" t="str">
        <v>战伟霞</v>
      </c>
      <c r="B28" t="str">
        <v>K00476</v>
      </c>
      <c r="C28" t="str">
        <v>26438053</v>
      </c>
      <c r="D28" t="str">
        <v>12942000039</v>
      </c>
      <c r="E28" t="str">
        <v>在职</v>
      </c>
      <c r="F28" t="str">
        <v>否</v>
      </c>
      <c r="G28" t="str">
        <v>员工可见</v>
      </c>
      <c r="H28" s="1">
        <v>2500</v>
      </c>
      <c r="I28" s="1">
        <v>2500</v>
      </c>
      <c r="J28" s="2">
        <v>20548.83</v>
      </c>
      <c r="K28" s="2">
        <v>0</v>
      </c>
      <c r="L28" s="2">
        <v>0</v>
      </c>
      <c r="M28" s="2">
        <v>32.73</v>
      </c>
      <c r="N28" s="2">
        <v>20516.1</v>
      </c>
      <c r="O28" s="2">
        <v>0</v>
      </c>
      <c r="P28" s="2">
        <v>0</v>
      </c>
      <c r="Q28" s="2">
        <v>0</v>
      </c>
      <c r="R28" s="2">
        <v>0</v>
      </c>
      <c r="S28" s="2">
        <v>20516.1</v>
      </c>
    </row>
    <row r="29" ht="16.8" customHeight="1">
      <c r="A29" t="str">
        <v>陈嘉人</v>
      </c>
      <c r="B29" t="str">
        <v>K00498</v>
      </c>
      <c r="C29" t="str">
        <v>26857317</v>
      </c>
      <c r="D29" t="str">
        <v>12942000005</v>
      </c>
      <c r="E29" t="str">
        <v>离职</v>
      </c>
      <c r="F29" t="str">
        <v>否</v>
      </c>
      <c r="G29" t="str">
        <v>员工可见</v>
      </c>
      <c r="H29" s="1">
        <v>47338</v>
      </c>
      <c r="I29" s="1">
        <v>47338</v>
      </c>
      <c r="J29" s="2">
        <v>428096.04</v>
      </c>
      <c r="K29" s="2">
        <v>0</v>
      </c>
      <c r="L29" s="2">
        <v>0</v>
      </c>
      <c r="M29" s="2">
        <v>625.83</v>
      </c>
      <c r="N29" s="2">
        <v>427470.21</v>
      </c>
      <c r="O29" s="2">
        <v>35503.5</v>
      </c>
      <c r="P29" s="2">
        <v>0</v>
      </c>
      <c r="Q29" s="2">
        <v>122293.36</v>
      </c>
      <c r="R29" s="2">
        <v>878810.95</v>
      </c>
      <c r="S29" s="2">
        <v>269673.35</v>
      </c>
    </row>
    <row r="30" ht="16.8" customHeight="1">
      <c r="A30" t="str">
        <v>王瑜</v>
      </c>
      <c r="B30" t="str">
        <v>K00536</v>
      </c>
      <c r="C30" t="str">
        <v>26527143</v>
      </c>
      <c r="D30" t="str">
        <v>12942000060</v>
      </c>
      <c r="E30" t="str">
        <v>离职</v>
      </c>
      <c r="F30" t="str">
        <v>否</v>
      </c>
      <c r="G30" t="str">
        <v>员工可见</v>
      </c>
      <c r="H30" s="1">
        <v>3168</v>
      </c>
      <c r="I30" s="1">
        <v>3168</v>
      </c>
      <c r="J30" s="2">
        <v>39297.88</v>
      </c>
      <c r="K30" s="2">
        <v>0</v>
      </c>
      <c r="L30" s="2">
        <v>0</v>
      </c>
      <c r="M30" s="2">
        <v>46.56</v>
      </c>
      <c r="N30" s="2">
        <v>39251.32</v>
      </c>
      <c r="O30" s="2">
        <v>7101</v>
      </c>
      <c r="P30" s="2">
        <v>0</v>
      </c>
      <c r="Q30" s="2">
        <v>25593.04</v>
      </c>
      <c r="R30" s="2">
        <v>182263.38</v>
      </c>
      <c r="S30" s="2">
        <v>6557.28</v>
      </c>
    </row>
    <row r="31" ht="16.8" customHeight="1">
      <c r="A31" t="str">
        <v>姬喆</v>
      </c>
      <c r="B31" t="str">
        <v>K00576</v>
      </c>
      <c r="C31" t="str">
        <v>29184131</v>
      </c>
      <c r="D31" t="str">
        <v>12942000055</v>
      </c>
      <c r="E31" t="str">
        <v>离职</v>
      </c>
      <c r="F31" t="str">
        <v>否</v>
      </c>
      <c r="G31" t="str">
        <v>员工可见</v>
      </c>
      <c r="H31" s="1">
        <v>4734</v>
      </c>
      <c r="I31" s="1">
        <v>4734</v>
      </c>
      <c r="J31" s="2">
        <v>59359.55</v>
      </c>
      <c r="K31" s="2">
        <v>0</v>
      </c>
      <c r="L31" s="2">
        <v>0</v>
      </c>
      <c r="M31" s="2">
        <v>63.76</v>
      </c>
      <c r="N31" s="2">
        <v>59295.79</v>
      </c>
      <c r="O31" s="2">
        <v>3550.5</v>
      </c>
      <c r="P31" s="2">
        <v>0</v>
      </c>
      <c r="Q31" s="2">
        <v>10312.22</v>
      </c>
      <c r="R31" s="2">
        <v>73344.68</v>
      </c>
      <c r="S31" s="2">
        <v>45433.07</v>
      </c>
    </row>
    <row r="32" ht="16.8" customHeight="1">
      <c r="A32" t="str">
        <v>刘一</v>
      </c>
      <c r="B32" t="str">
        <v>K00619</v>
      </c>
      <c r="C32" t="str">
        <v>26340945</v>
      </c>
      <c r="D32" t="str">
        <v>12942000009</v>
      </c>
      <c r="E32" t="str">
        <v>离职</v>
      </c>
      <c r="F32" t="str">
        <v>否</v>
      </c>
      <c r="G32" t="str">
        <v>员工可见</v>
      </c>
      <c r="H32" s="1">
        <v>59679</v>
      </c>
      <c r="I32" s="1">
        <v>56274</v>
      </c>
      <c r="J32" s="2">
        <v>709261.87</v>
      </c>
      <c r="K32" s="2">
        <v>7587.58</v>
      </c>
      <c r="L32" s="2">
        <v>1517.52</v>
      </c>
      <c r="M32" s="2">
        <v>772.9</v>
      </c>
      <c r="N32" s="2">
        <v>708488.97</v>
      </c>
      <c r="O32" s="2">
        <v>26025</v>
      </c>
      <c r="P32" s="2">
        <v>0</v>
      </c>
      <c r="Q32" s="2">
        <v>130348.59</v>
      </c>
      <c r="R32" s="2">
        <v>927760.41</v>
      </c>
      <c r="S32" s="2">
        <v>552115.38</v>
      </c>
    </row>
    <row r="33" ht="16.8" customHeight="1">
      <c r="A33" t="str">
        <v>章莉</v>
      </c>
      <c r="B33" t="str">
        <v>K00675</v>
      </c>
      <c r="C33" t="str">
        <v>26591702</v>
      </c>
      <c r="D33" t="str">
        <v>12942000032</v>
      </c>
      <c r="E33" t="str">
        <v>离职</v>
      </c>
      <c r="F33" t="str">
        <v>否</v>
      </c>
      <c r="G33" t="str">
        <v>员工可见</v>
      </c>
      <c r="H33" s="1">
        <v>26277</v>
      </c>
      <c r="I33" s="1">
        <v>25561</v>
      </c>
      <c r="J33" s="2">
        <v>258275.11</v>
      </c>
      <c r="K33" s="2">
        <v>0</v>
      </c>
      <c r="L33" s="2">
        <v>0</v>
      </c>
      <c r="M33" s="2">
        <v>342.4</v>
      </c>
      <c r="N33" s="2">
        <v>257932.71</v>
      </c>
      <c r="O33" s="2">
        <v>19170.75</v>
      </c>
      <c r="P33" s="2">
        <v>0</v>
      </c>
      <c r="Q33" s="2">
        <v>77259.98</v>
      </c>
      <c r="R33" s="2">
        <v>555086.98</v>
      </c>
      <c r="S33" s="2">
        <v>161501.98</v>
      </c>
    </row>
    <row r="34" ht="16.8" customHeight="1">
      <c r="A34" t="str">
        <v>姚黠</v>
      </c>
      <c r="B34" t="str">
        <v>K00693</v>
      </c>
      <c r="C34" t="str">
        <v>26177698</v>
      </c>
      <c r="D34" t="str">
        <v>12942000026</v>
      </c>
      <c r="E34" t="str">
        <v>在职</v>
      </c>
      <c r="F34" t="str">
        <v>否</v>
      </c>
      <c r="G34" t="str">
        <v>员工可见</v>
      </c>
      <c r="H34" s="1">
        <v>1646</v>
      </c>
      <c r="I34" s="1">
        <v>1646</v>
      </c>
      <c r="J34" s="2">
        <v>20655.42</v>
      </c>
      <c r="K34" s="2">
        <v>0</v>
      </c>
      <c r="L34" s="2">
        <v>0</v>
      </c>
      <c r="M34" s="2">
        <v>23.39</v>
      </c>
      <c r="N34" s="2">
        <v>20632.03</v>
      </c>
      <c r="O34" s="2">
        <v>3550.5</v>
      </c>
      <c r="P34" s="2">
        <v>0</v>
      </c>
      <c r="Q34" s="2">
        <v>8934.94</v>
      </c>
      <c r="R34" s="2">
        <v>63649.69</v>
      </c>
      <c r="S34" s="2">
        <v>8146.59</v>
      </c>
    </row>
    <row r="35" ht="16.8" customHeight="1">
      <c r="A35" t="str">
        <v>罗灵芝</v>
      </c>
      <c r="B35" t="str">
        <v>ZB0050</v>
      </c>
      <c r="C35" t="str">
        <v>7479316</v>
      </c>
      <c r="D35" t="str">
        <v>12942000014</v>
      </c>
      <c r="E35" t="str">
        <v>在职</v>
      </c>
      <c r="F35" t="str">
        <v>否</v>
      </c>
      <c r="G35" t="str">
        <v>员工可见</v>
      </c>
      <c r="H35" s="1">
        <v>14679</v>
      </c>
      <c r="I35" s="1">
        <v>14225</v>
      </c>
      <c r="J35" s="2">
        <v>164230.96</v>
      </c>
      <c r="K35" s="2">
        <v>2125.04</v>
      </c>
      <c r="L35" s="2">
        <v>425.02</v>
      </c>
      <c r="M35" s="2">
        <v>191.78</v>
      </c>
      <c r="N35" s="2">
        <v>164039.18</v>
      </c>
      <c r="O35" s="2">
        <v>8172</v>
      </c>
      <c r="P35" s="2">
        <v>0</v>
      </c>
      <c r="Q35" s="2">
        <v>39725.04</v>
      </c>
      <c r="R35" s="2">
        <v>283030.66</v>
      </c>
      <c r="S35" s="2">
        <v>116142.14</v>
      </c>
    </row>
    <row r="36" ht="16.8" customHeight="1">
      <c r="I36" s="1">
        <f>SUM(I2:I35)</f>
        <v>942453</v>
      </c>
    </row>
    <row r="37"/>
    <row r="39" ht="17.6" customHeight="1">
      <c r="A39" t="str">
        <v>Note: This report is ran quarterly to calculate the public float.</v>
      </c>
    </row>
  </sheetData>
  <pageMargins left="0.7" right="0.7" top="0.75" bottom="0.75" header="0.3" footer="0.3"/>
  <ignoredErrors>
    <ignoredError numberStoredAsText="1" sqref="A1:S39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 sold shares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