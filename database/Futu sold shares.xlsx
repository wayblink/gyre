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yxc-dz-0101035/Desktop/captable-merge/database/"/>
    </mc:Choice>
  </mc:AlternateContent>
  <xr:revisionPtr revIDLastSave="0" documentId="8_{84CB6054-4CBA-6C47-BF4A-6212528C9F47}" xr6:coauthVersionLast="47" xr6:coauthVersionMax="47" xr10:uidLastSave="{00000000-0000-0000-0000-000000000000}"/>
  <bookViews>
    <workbookView xWindow="4440" yWindow="2320" windowWidth="25800" windowHeight="15620" xr2:uid="{D39FF482-0B42-CB4D-9820-EC8AD533220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" i="1" l="1"/>
</calcChain>
</file>

<file path=xl/sharedStrings.xml><?xml version="1.0" encoding="utf-8"?>
<sst xmlns="http://schemas.openxmlformats.org/spreadsheetml/2006/main" count="257" uniqueCount="159">
  <si>
    <t>姓名</t>
  </si>
  <si>
    <t>工号</t>
  </si>
  <si>
    <t>牛牛号</t>
  </si>
  <si>
    <t>用户ID</t>
  </si>
  <si>
    <t>在职状态</t>
  </si>
  <si>
    <t>关联人士身份</t>
  </si>
  <si>
    <t>财产转让所得税</t>
  </si>
  <si>
    <t>出售总数量</t>
  </si>
  <si>
    <t>成交总数量</t>
  </si>
  <si>
    <t>成交总金额（美元）</t>
  </si>
  <si>
    <t>财产转让所得总应税收入（美元）</t>
  </si>
  <si>
    <t>财产转让所得总应纳税额（美元）</t>
  </si>
  <si>
    <t>交易总费用（美元）</t>
  </si>
  <si>
    <t>成交净值（美元）</t>
  </si>
  <si>
    <t>授予成本（美元）</t>
  </si>
  <si>
    <t>行权/归属手续费（美元）</t>
  </si>
  <si>
    <t>本期合计代扣税额（美元）</t>
  </si>
  <si>
    <t>本期合计代扣税额（人民币）</t>
  </si>
  <si>
    <t>现金净收益(美元)</t>
  </si>
  <si>
    <t>李巍</t>
  </si>
  <si>
    <t>K00003</t>
  </si>
  <si>
    <t>26219737</t>
  </si>
  <si>
    <t>12942000006</t>
  </si>
  <si>
    <t>在职</t>
  </si>
  <si>
    <t>否</t>
  </si>
  <si>
    <t>员工可见</t>
  </si>
  <si>
    <t>何星辉</t>
  </si>
  <si>
    <t>K00105</t>
  </si>
  <si>
    <t>26789748</t>
  </si>
  <si>
    <t>12942000041</t>
  </si>
  <si>
    <t>褚振辉</t>
  </si>
  <si>
    <t>K00125</t>
  </si>
  <si>
    <t>26415741</t>
  </si>
  <si>
    <t>12942000034</t>
  </si>
  <si>
    <t>朱庆梅</t>
  </si>
  <si>
    <t>K00126</t>
  </si>
  <si>
    <t>26311403</t>
  </si>
  <si>
    <t>12942000025</t>
  </si>
  <si>
    <t>赵荣</t>
  </si>
  <si>
    <t>K00161</t>
  </si>
  <si>
    <t>26368561</t>
  </si>
  <si>
    <t>12942000018</t>
  </si>
  <si>
    <t>闫瑞萍</t>
  </si>
  <si>
    <t>K00182</t>
  </si>
  <si>
    <t>28680089</t>
  </si>
  <si>
    <t>12942000051</t>
  </si>
  <si>
    <t>樊雪</t>
  </si>
  <si>
    <t>K00218</t>
  </si>
  <si>
    <t>26793836</t>
  </si>
  <si>
    <t>12942000046</t>
  </si>
  <si>
    <t>离职</t>
  </si>
  <si>
    <t>曹琳</t>
  </si>
  <si>
    <t>K00220</t>
  </si>
  <si>
    <t>26597991</t>
  </si>
  <si>
    <t>12942000042</t>
  </si>
  <si>
    <t>何红伟</t>
  </si>
  <si>
    <t>K00235</t>
  </si>
  <si>
    <t>26729055</t>
  </si>
  <si>
    <t>12942000058</t>
  </si>
  <si>
    <t>于小越</t>
  </si>
  <si>
    <t>K00236</t>
  </si>
  <si>
    <t>26735376</t>
  </si>
  <si>
    <t>12942000045</t>
  </si>
  <si>
    <t>胡帅</t>
  </si>
  <si>
    <t>K00245</t>
  </si>
  <si>
    <t>26479081</t>
  </si>
  <si>
    <t>12942000002</t>
  </si>
  <si>
    <t>冯伟卫</t>
  </si>
  <si>
    <t>K00263</t>
  </si>
  <si>
    <t>26467750</t>
  </si>
  <si>
    <t>12942000001</t>
  </si>
  <si>
    <t>王斌</t>
  </si>
  <si>
    <t>K00267</t>
  </si>
  <si>
    <t>26397643</t>
  </si>
  <si>
    <t>12942000020</t>
  </si>
  <si>
    <t>刘兆辉</t>
  </si>
  <si>
    <t>K00285</t>
  </si>
  <si>
    <t>26288323</t>
  </si>
  <si>
    <t>12942000013</t>
  </si>
  <si>
    <t>汪雯</t>
  </si>
  <si>
    <t>K00287</t>
  </si>
  <si>
    <t>40001303</t>
  </si>
  <si>
    <t>12942000050</t>
  </si>
  <si>
    <t>隋永杰</t>
  </si>
  <si>
    <t>K00306</t>
  </si>
  <si>
    <t>26291840</t>
  </si>
  <si>
    <t>12942000011</t>
  </si>
  <si>
    <t>李晓莉</t>
  </si>
  <si>
    <t>K00307</t>
  </si>
  <si>
    <t>26277842</t>
  </si>
  <si>
    <t>12942000048</t>
  </si>
  <si>
    <t>张洪</t>
  </si>
  <si>
    <t>K00331</t>
  </si>
  <si>
    <t>26793941</t>
  </si>
  <si>
    <t>12942000030</t>
  </si>
  <si>
    <t>施宏</t>
  </si>
  <si>
    <t>K00352</t>
  </si>
  <si>
    <t>26365125</t>
  </si>
  <si>
    <t>12942000047</t>
  </si>
  <si>
    <t>田杨威</t>
  </si>
  <si>
    <t>K00353</t>
  </si>
  <si>
    <t>26571073</t>
  </si>
  <si>
    <t>12942000049</t>
  </si>
  <si>
    <t>朱雁岷</t>
  </si>
  <si>
    <t>K00364</t>
  </si>
  <si>
    <t>26800466</t>
  </si>
  <si>
    <t>12942000024</t>
  </si>
  <si>
    <t>刘淇嘉</t>
  </si>
  <si>
    <t>K00373</t>
  </si>
  <si>
    <t>26559348</t>
  </si>
  <si>
    <t>12942000040</t>
  </si>
  <si>
    <t>范玲娜</t>
  </si>
  <si>
    <t>K00381</t>
  </si>
  <si>
    <t>26241911</t>
  </si>
  <si>
    <t>12942000003</t>
  </si>
  <si>
    <t>汪兰</t>
  </si>
  <si>
    <t>K00401</t>
  </si>
  <si>
    <t>26648271</t>
  </si>
  <si>
    <t>12942000054</t>
  </si>
  <si>
    <t>庄金皓</t>
  </si>
  <si>
    <t>K00423</t>
  </si>
  <si>
    <t>26205428</t>
  </si>
  <si>
    <t>12942000037</t>
  </si>
  <si>
    <t>陈建麒</t>
  </si>
  <si>
    <t>K00456</t>
  </si>
  <si>
    <t>26758648</t>
  </si>
  <si>
    <t>12942000015</t>
  </si>
  <si>
    <t>战伟霞</t>
  </si>
  <si>
    <t>K00476</t>
  </si>
  <si>
    <t>26438053</t>
  </si>
  <si>
    <t>12942000039</t>
  </si>
  <si>
    <t>陈嘉人</t>
  </si>
  <si>
    <t>K00498</t>
  </si>
  <si>
    <t>26857317</t>
  </si>
  <si>
    <t>12942000005</t>
  </si>
  <si>
    <t>王瑜</t>
  </si>
  <si>
    <t>K00536</t>
  </si>
  <si>
    <t>26527143</t>
  </si>
  <si>
    <t>12942000060</t>
  </si>
  <si>
    <t>姬喆</t>
  </si>
  <si>
    <t>K00576</t>
  </si>
  <si>
    <t>29184131</t>
  </si>
  <si>
    <t>12942000055</t>
  </si>
  <si>
    <t>刘一</t>
  </si>
  <si>
    <t>K00619</t>
  </si>
  <si>
    <t>26340945</t>
  </si>
  <si>
    <t>12942000009</t>
  </si>
  <si>
    <t>章莉</t>
  </si>
  <si>
    <t>K00675</t>
  </si>
  <si>
    <t>26591702</t>
  </si>
  <si>
    <t>12942000032</t>
  </si>
  <si>
    <t>姚黠</t>
  </si>
  <si>
    <t>K00693</t>
  </si>
  <si>
    <t>26177698</t>
  </si>
  <si>
    <t>12942000026</t>
  </si>
  <si>
    <t>罗灵芝</t>
  </si>
  <si>
    <t>ZB0050</t>
  </si>
  <si>
    <t>7479316</t>
  </si>
  <si>
    <t>12942000014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</si>
</sst>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>
      <alignment horizontal="left" vertical="center"/>
    </xf>
    <xf numFmtId="4" fontId="3" fillId="0" borderId="0" xfId="0" applyNumberFormat="1" applyFont="1" applyAlignment="1">
      <alignment horizontal="left" vertical="center"/>
    </xf>
    <xf numFmtId="3" fontId="1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A41D-9B03-8A42-9338-92ED79925840}">
  <dimension ref="A1:S36"/>
  <sheetViews>
    <sheetView tabSelected="1" workbookViewId="0">
      <selection sqref="A1:S36"/>
    </sheetView>
  </sheetViews>
  <sheetFormatPr baseColWidth="10" defaultRowHeight="16"/>
  <sheetData>
    <row r="1" spans="1:19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7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3">
        <v>9899</v>
      </c>
      <c r="I2" s="3">
        <v>9899</v>
      </c>
      <c r="J2" s="4">
        <v>100726.68</v>
      </c>
      <c r="K2" s="4">
        <v>0</v>
      </c>
      <c r="L2" s="4">
        <v>0</v>
      </c>
      <c r="M2" s="4">
        <v>131.51</v>
      </c>
      <c r="N2" s="4">
        <v>100595.17</v>
      </c>
      <c r="O2" s="4">
        <v>15750</v>
      </c>
      <c r="P2" s="4">
        <v>0</v>
      </c>
      <c r="Q2" s="4">
        <v>55038.400000000001</v>
      </c>
      <c r="R2" s="4">
        <v>392271.53</v>
      </c>
      <c r="S2" s="4">
        <v>29806.77</v>
      </c>
    </row>
    <row r="3" spans="1:19" ht="17">
      <c r="A3" s="2" t="s">
        <v>26</v>
      </c>
      <c r="B3" s="2" t="s">
        <v>27</v>
      </c>
      <c r="C3" s="2" t="s">
        <v>28</v>
      </c>
      <c r="D3" s="2" t="s">
        <v>29</v>
      </c>
      <c r="E3" s="2" t="s">
        <v>23</v>
      </c>
      <c r="F3" s="2" t="s">
        <v>24</v>
      </c>
      <c r="G3" s="2" t="s">
        <v>25</v>
      </c>
      <c r="H3" s="3">
        <v>6899</v>
      </c>
      <c r="I3" s="3">
        <v>6899</v>
      </c>
      <c r="J3" s="4">
        <v>87501.78</v>
      </c>
      <c r="K3" s="4">
        <v>0</v>
      </c>
      <c r="L3" s="4">
        <v>0</v>
      </c>
      <c r="M3" s="4">
        <v>92.63</v>
      </c>
      <c r="N3" s="4">
        <v>87409.15</v>
      </c>
      <c r="O3" s="4">
        <v>12781.5</v>
      </c>
      <c r="P3" s="4">
        <v>0</v>
      </c>
      <c r="Q3" s="4">
        <v>62809.47</v>
      </c>
      <c r="R3" s="4">
        <v>449372.92</v>
      </c>
      <c r="S3" s="4">
        <v>11818.18</v>
      </c>
    </row>
    <row r="4" spans="1:19" ht="17">
      <c r="A4" s="2" t="s">
        <v>30</v>
      </c>
      <c r="B4" s="2" t="s">
        <v>31</v>
      </c>
      <c r="C4" s="2" t="s">
        <v>32</v>
      </c>
      <c r="D4" s="2" t="s">
        <v>33</v>
      </c>
      <c r="E4" s="2" t="s">
        <v>23</v>
      </c>
      <c r="F4" s="2" t="s">
        <v>24</v>
      </c>
      <c r="G4" s="2" t="s">
        <v>25</v>
      </c>
      <c r="H4" s="3">
        <v>10573</v>
      </c>
      <c r="I4" s="3">
        <v>10573</v>
      </c>
      <c r="J4" s="4">
        <v>98033.61</v>
      </c>
      <c r="K4" s="4">
        <v>0</v>
      </c>
      <c r="L4" s="4">
        <v>0</v>
      </c>
      <c r="M4" s="4">
        <v>140.11000000000001</v>
      </c>
      <c r="N4" s="4">
        <v>97893.5</v>
      </c>
      <c r="O4" s="4">
        <v>18000</v>
      </c>
      <c r="P4" s="4">
        <v>0</v>
      </c>
      <c r="Q4" s="4">
        <v>57350.7</v>
      </c>
      <c r="R4" s="4">
        <v>412143.57</v>
      </c>
      <c r="S4" s="4">
        <v>22542.799999999999</v>
      </c>
    </row>
    <row r="5" spans="1:19" ht="17">
      <c r="A5" s="2" t="s">
        <v>34</v>
      </c>
      <c r="B5" s="2" t="s">
        <v>35</v>
      </c>
      <c r="C5" s="2" t="s">
        <v>36</v>
      </c>
      <c r="D5" s="2" t="s">
        <v>37</v>
      </c>
      <c r="E5" s="2" t="s">
        <v>23</v>
      </c>
      <c r="F5" s="2" t="s">
        <v>24</v>
      </c>
      <c r="G5" s="2" t="s">
        <v>25</v>
      </c>
      <c r="H5" s="3">
        <v>3041</v>
      </c>
      <c r="I5" s="3">
        <v>3041</v>
      </c>
      <c r="J5" s="4">
        <v>25028.67</v>
      </c>
      <c r="K5" s="4">
        <v>0</v>
      </c>
      <c r="L5" s="4">
        <v>0</v>
      </c>
      <c r="M5" s="4">
        <v>39.9</v>
      </c>
      <c r="N5" s="4">
        <v>24988.77</v>
      </c>
      <c r="O5" s="4">
        <v>7500</v>
      </c>
      <c r="P5" s="4">
        <v>0</v>
      </c>
      <c r="Q5" s="4">
        <v>15614.45</v>
      </c>
      <c r="R5" s="4">
        <v>112186.7</v>
      </c>
      <c r="S5" s="4">
        <v>1874.32</v>
      </c>
    </row>
    <row r="6" spans="1:19" ht="17">
      <c r="A6" s="2" t="s">
        <v>38</v>
      </c>
      <c r="B6" s="2" t="s">
        <v>39</v>
      </c>
      <c r="C6" s="2" t="s">
        <v>40</v>
      </c>
      <c r="D6" s="2" t="s">
        <v>41</v>
      </c>
      <c r="E6" s="2" t="s">
        <v>23</v>
      </c>
      <c r="F6" s="2" t="s">
        <v>24</v>
      </c>
      <c r="G6" s="2" t="s">
        <v>25</v>
      </c>
      <c r="H6" s="3">
        <v>18000</v>
      </c>
      <c r="I6" s="3">
        <v>18000</v>
      </c>
      <c r="J6" s="4">
        <v>186223.1</v>
      </c>
      <c r="K6" s="4">
        <v>12418.87</v>
      </c>
      <c r="L6" s="4">
        <v>2483.7800000000002</v>
      </c>
      <c r="M6" s="4">
        <v>238.39</v>
      </c>
      <c r="N6" s="4">
        <v>185984.71</v>
      </c>
      <c r="O6" s="4">
        <v>6000</v>
      </c>
      <c r="P6" s="4">
        <v>0</v>
      </c>
      <c r="Q6" s="4">
        <v>19905.419999999998</v>
      </c>
      <c r="R6" s="4">
        <v>142720.1</v>
      </c>
      <c r="S6" s="4">
        <v>160079.29</v>
      </c>
    </row>
    <row r="7" spans="1:19" ht="17">
      <c r="A7" s="2" t="s">
        <v>42</v>
      </c>
      <c r="B7" s="2" t="s">
        <v>43</v>
      </c>
      <c r="C7" s="2" t="s">
        <v>44</v>
      </c>
      <c r="D7" s="2" t="s">
        <v>45</v>
      </c>
      <c r="E7" s="2" t="s">
        <v>23</v>
      </c>
      <c r="F7" s="2" t="s">
        <v>24</v>
      </c>
      <c r="G7" s="2" t="s">
        <v>25</v>
      </c>
      <c r="H7" s="3">
        <v>44718</v>
      </c>
      <c r="I7" s="3">
        <v>44718</v>
      </c>
      <c r="J7" s="4">
        <v>373406.97</v>
      </c>
      <c r="K7" s="4">
        <v>0</v>
      </c>
      <c r="L7" s="4">
        <v>0</v>
      </c>
      <c r="M7" s="4">
        <v>586.66999999999996</v>
      </c>
      <c r="N7" s="4">
        <v>372820.3</v>
      </c>
      <c r="O7" s="4">
        <v>60000</v>
      </c>
      <c r="P7" s="4">
        <v>0</v>
      </c>
      <c r="Q7" s="4">
        <v>259920</v>
      </c>
      <c r="R7" s="4">
        <v>1867473.21</v>
      </c>
      <c r="S7" s="4">
        <v>52900.3</v>
      </c>
    </row>
    <row r="8" spans="1:19" ht="17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24</v>
      </c>
      <c r="G8" s="2" t="s">
        <v>25</v>
      </c>
      <c r="H8" s="3">
        <v>9468</v>
      </c>
      <c r="I8" s="3">
        <v>9468</v>
      </c>
      <c r="J8" s="4">
        <v>111603.65</v>
      </c>
      <c r="K8" s="4">
        <v>0</v>
      </c>
      <c r="L8" s="4">
        <v>0</v>
      </c>
      <c r="M8" s="4">
        <v>126.98</v>
      </c>
      <c r="N8" s="4">
        <v>111476.67</v>
      </c>
      <c r="O8" s="4">
        <v>7101</v>
      </c>
      <c r="P8" s="4">
        <v>0</v>
      </c>
      <c r="Q8" s="4">
        <v>29293.42</v>
      </c>
      <c r="R8" s="4">
        <v>210552.29</v>
      </c>
      <c r="S8" s="4">
        <v>75082.25</v>
      </c>
    </row>
    <row r="9" spans="1:19" ht="17">
      <c r="A9" s="2" t="s">
        <v>51</v>
      </c>
      <c r="B9" s="2" t="s">
        <v>52</v>
      </c>
      <c r="C9" s="2" t="s">
        <v>53</v>
      </c>
      <c r="D9" s="2" t="s">
        <v>54</v>
      </c>
      <c r="E9" s="2" t="s">
        <v>23</v>
      </c>
      <c r="F9" s="2" t="s">
        <v>24</v>
      </c>
      <c r="G9" s="2" t="s">
        <v>25</v>
      </c>
      <c r="H9" s="3">
        <v>36285</v>
      </c>
      <c r="I9" s="3">
        <v>36285</v>
      </c>
      <c r="J9" s="4"/>
      <c r="K9" s="4">
        <v>0</v>
      </c>
      <c r="L9" s="4">
        <v>0</v>
      </c>
      <c r="M9" s="4">
        <v>488.51</v>
      </c>
      <c r="N9" s="4">
        <v>424376.28</v>
      </c>
      <c r="O9" s="4">
        <v>27213.75</v>
      </c>
      <c r="P9" s="4">
        <v>0</v>
      </c>
      <c r="Q9" s="4">
        <v>143867.85999999999</v>
      </c>
      <c r="R9" s="4">
        <v>1032792.45</v>
      </c>
      <c r="S9" s="4">
        <v>253294.67</v>
      </c>
    </row>
    <row r="10" spans="1:19" ht="17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23</v>
      </c>
      <c r="F10" s="2" t="s">
        <v>24</v>
      </c>
      <c r="G10" s="2" t="s">
        <v>25</v>
      </c>
      <c r="H10" s="3">
        <v>192075</v>
      </c>
      <c r="I10" s="3">
        <v>165600</v>
      </c>
      <c r="J10" s="4">
        <v>1336788.95</v>
      </c>
      <c r="K10" s="4">
        <v>4730.75</v>
      </c>
      <c r="L10" s="4">
        <v>946.16</v>
      </c>
      <c r="M10" s="4">
        <v>2181.46</v>
      </c>
      <c r="N10" s="4">
        <v>1334607.49</v>
      </c>
      <c r="O10" s="4">
        <v>34399.5</v>
      </c>
      <c r="P10" s="4">
        <v>0</v>
      </c>
      <c r="Q10" s="4">
        <v>143554.97</v>
      </c>
      <c r="R10" s="4">
        <v>1018947.54</v>
      </c>
      <c r="S10" s="4">
        <v>1156653.02</v>
      </c>
    </row>
    <row r="11" spans="1:19" ht="17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23</v>
      </c>
      <c r="F11" s="2" t="s">
        <v>24</v>
      </c>
      <c r="G11" s="2" t="s">
        <v>25</v>
      </c>
      <c r="H11" s="3">
        <v>27006</v>
      </c>
      <c r="I11" s="3">
        <v>26418</v>
      </c>
      <c r="J11" s="4">
        <v>220334.95</v>
      </c>
      <c r="K11" s="4">
        <v>17.920000000000002</v>
      </c>
      <c r="L11" s="4">
        <v>3.58</v>
      </c>
      <c r="M11" s="4">
        <v>356.51</v>
      </c>
      <c r="N11" s="4">
        <v>219978.44</v>
      </c>
      <c r="O11" s="4">
        <v>10051.5</v>
      </c>
      <c r="P11" s="4">
        <v>0</v>
      </c>
      <c r="Q11" s="4">
        <v>38680.589999999997</v>
      </c>
      <c r="R11" s="4">
        <v>275264.12</v>
      </c>
      <c r="S11" s="4">
        <v>171246.35</v>
      </c>
    </row>
    <row r="12" spans="1:19" ht="17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23</v>
      </c>
      <c r="F12" s="2" t="s">
        <v>24</v>
      </c>
      <c r="G12" s="2" t="s">
        <v>25</v>
      </c>
      <c r="H12" s="3">
        <v>252</v>
      </c>
      <c r="I12" s="3">
        <v>252</v>
      </c>
      <c r="J12" s="4">
        <v>2623.4</v>
      </c>
      <c r="K12" s="4">
        <v>0</v>
      </c>
      <c r="L12" s="4">
        <v>0</v>
      </c>
      <c r="M12" s="4">
        <v>3.36</v>
      </c>
      <c r="N12" s="4">
        <v>2620.04</v>
      </c>
      <c r="O12" s="4">
        <v>1200</v>
      </c>
      <c r="P12" s="4">
        <v>0</v>
      </c>
      <c r="Q12" s="4">
        <v>1203.8</v>
      </c>
      <c r="R12" s="4">
        <v>8652.56</v>
      </c>
      <c r="S12" s="4">
        <v>216.24</v>
      </c>
    </row>
    <row r="13" spans="1:19" ht="17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23</v>
      </c>
      <c r="F13" s="2" t="s">
        <v>24</v>
      </c>
      <c r="G13" s="2" t="s">
        <v>25</v>
      </c>
      <c r="H13" s="3">
        <v>44740</v>
      </c>
      <c r="I13" s="3">
        <v>44740</v>
      </c>
      <c r="J13" s="4">
        <v>478016.81</v>
      </c>
      <c r="K13" s="4">
        <v>0</v>
      </c>
      <c r="L13" s="4">
        <v>0</v>
      </c>
      <c r="M13" s="4">
        <v>596.96</v>
      </c>
      <c r="N13" s="4">
        <v>477419.85</v>
      </c>
      <c r="O13" s="4">
        <v>23137.5</v>
      </c>
      <c r="P13" s="4">
        <v>0</v>
      </c>
      <c r="Q13" s="4">
        <v>126440.1</v>
      </c>
      <c r="R13" s="4">
        <v>905941.76</v>
      </c>
      <c r="S13" s="4">
        <v>327842.25</v>
      </c>
    </row>
    <row r="14" spans="1:19" ht="17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50</v>
      </c>
      <c r="F14" s="2" t="s">
        <v>24</v>
      </c>
      <c r="G14" s="2" t="s">
        <v>25</v>
      </c>
      <c r="H14" s="3">
        <v>6042</v>
      </c>
      <c r="I14" s="3">
        <v>6042</v>
      </c>
      <c r="J14" s="4">
        <v>65560.899999999994</v>
      </c>
      <c r="K14" s="4">
        <v>0</v>
      </c>
      <c r="L14" s="4">
        <v>0</v>
      </c>
      <c r="M14" s="4">
        <v>80.92</v>
      </c>
      <c r="N14" s="4">
        <v>65479.98</v>
      </c>
      <c r="O14" s="4">
        <v>0</v>
      </c>
      <c r="P14" s="4">
        <v>0</v>
      </c>
      <c r="Q14" s="4">
        <v>0</v>
      </c>
      <c r="R14" s="4">
        <v>0</v>
      </c>
      <c r="S14" s="4">
        <v>65479.98</v>
      </c>
    </row>
    <row r="15" spans="1:19" ht="17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23</v>
      </c>
      <c r="F15" s="2" t="s">
        <v>24</v>
      </c>
      <c r="G15" s="2" t="s">
        <v>25</v>
      </c>
      <c r="H15" s="3">
        <v>89895</v>
      </c>
      <c r="I15" s="3">
        <v>87145</v>
      </c>
      <c r="J15" s="4">
        <v>967041.93</v>
      </c>
      <c r="K15" s="4">
        <v>31733.93</v>
      </c>
      <c r="L15" s="4">
        <v>6346.78</v>
      </c>
      <c r="M15" s="4">
        <v>1177.06</v>
      </c>
      <c r="N15" s="4">
        <v>965864.87</v>
      </c>
      <c r="O15" s="4">
        <v>53058.75</v>
      </c>
      <c r="P15" s="4">
        <v>0</v>
      </c>
      <c r="Q15" s="4">
        <v>322879.46999999997</v>
      </c>
      <c r="R15" s="4">
        <v>2314173.69</v>
      </c>
      <c r="S15" s="4">
        <v>589926.65</v>
      </c>
    </row>
    <row r="16" spans="1:19" ht="17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23</v>
      </c>
      <c r="F16" s="2" t="s">
        <v>24</v>
      </c>
      <c r="G16" s="2" t="s">
        <v>25</v>
      </c>
      <c r="H16" s="3">
        <v>7053</v>
      </c>
      <c r="I16" s="3">
        <v>7053</v>
      </c>
      <c r="J16" s="4">
        <v>55850.99</v>
      </c>
      <c r="K16" s="4">
        <v>0</v>
      </c>
      <c r="L16" s="4">
        <v>0</v>
      </c>
      <c r="M16" s="4">
        <v>92.34</v>
      </c>
      <c r="N16" s="4">
        <v>55758.65</v>
      </c>
      <c r="O16" s="4">
        <v>5625</v>
      </c>
      <c r="P16" s="4">
        <v>0</v>
      </c>
      <c r="Q16" s="4">
        <v>19462.27</v>
      </c>
      <c r="R16" s="4">
        <v>137862.64000000001</v>
      </c>
      <c r="S16" s="4">
        <v>30671.38</v>
      </c>
    </row>
    <row r="17" spans="1:19" ht="17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50</v>
      </c>
      <c r="F17" s="2" t="s">
        <v>24</v>
      </c>
      <c r="G17" s="2" t="s">
        <v>25</v>
      </c>
      <c r="H17" s="3">
        <v>13035</v>
      </c>
      <c r="I17" s="3">
        <v>10100</v>
      </c>
      <c r="J17" s="4">
        <v>115082.25</v>
      </c>
      <c r="K17" s="4">
        <v>3026.88</v>
      </c>
      <c r="L17" s="4">
        <v>605.38</v>
      </c>
      <c r="M17" s="4">
        <v>134.49</v>
      </c>
      <c r="N17" s="4">
        <v>114947.76</v>
      </c>
      <c r="O17" s="4">
        <v>0</v>
      </c>
      <c r="P17" s="4">
        <v>0</v>
      </c>
      <c r="Q17" s="4">
        <v>0</v>
      </c>
      <c r="R17" s="4">
        <v>0</v>
      </c>
      <c r="S17" s="4">
        <v>114947.76</v>
      </c>
    </row>
    <row r="18" spans="1:19" ht="17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23</v>
      </c>
      <c r="F18" s="2" t="s">
        <v>24</v>
      </c>
      <c r="G18" s="2" t="s">
        <v>25</v>
      </c>
      <c r="H18" s="3">
        <v>17936</v>
      </c>
      <c r="I18" s="3">
        <v>17936</v>
      </c>
      <c r="J18" s="4">
        <v>144452.6</v>
      </c>
      <c r="K18" s="4">
        <v>7150.25</v>
      </c>
      <c r="L18" s="4">
        <v>1430.04</v>
      </c>
      <c r="M18" s="4">
        <v>234.94</v>
      </c>
      <c r="N18" s="4">
        <v>144217.66</v>
      </c>
      <c r="O18" s="4">
        <v>0</v>
      </c>
      <c r="P18" s="4">
        <v>0</v>
      </c>
      <c r="Q18" s="4">
        <v>0</v>
      </c>
      <c r="R18" s="4">
        <v>0</v>
      </c>
      <c r="S18" s="4">
        <v>144217.66</v>
      </c>
    </row>
    <row r="19" spans="1:19" ht="17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23</v>
      </c>
      <c r="F19" s="2" t="s">
        <v>24</v>
      </c>
      <c r="G19" s="2" t="s">
        <v>25</v>
      </c>
      <c r="H19" s="3">
        <v>85179</v>
      </c>
      <c r="I19" s="3">
        <v>66839</v>
      </c>
      <c r="J19" s="4">
        <v>731151.48</v>
      </c>
      <c r="K19" s="4">
        <v>31301.81</v>
      </c>
      <c r="L19" s="4">
        <v>6260.36</v>
      </c>
      <c r="M19" s="4">
        <v>893.17</v>
      </c>
      <c r="N19" s="4">
        <v>730258.31</v>
      </c>
      <c r="O19" s="4">
        <v>37124.25</v>
      </c>
      <c r="P19" s="4">
        <v>0</v>
      </c>
      <c r="Q19" s="4">
        <v>219149.99</v>
      </c>
      <c r="R19" s="4">
        <v>1569981.07</v>
      </c>
      <c r="S19" s="4">
        <v>473984.07</v>
      </c>
    </row>
    <row r="20" spans="1:19" ht="17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23</v>
      </c>
      <c r="F20" s="2" t="s">
        <v>24</v>
      </c>
      <c r="G20" s="2" t="s">
        <v>25</v>
      </c>
      <c r="H20" s="3">
        <v>200</v>
      </c>
      <c r="I20" s="3">
        <v>200</v>
      </c>
      <c r="J20" s="4">
        <v>1685</v>
      </c>
      <c r="K20" s="4">
        <v>0</v>
      </c>
      <c r="L20" s="4">
        <v>0</v>
      </c>
      <c r="M20" s="4">
        <v>4.62</v>
      </c>
      <c r="N20" s="4">
        <v>1680.38</v>
      </c>
      <c r="O20" s="4">
        <v>150</v>
      </c>
      <c r="P20" s="4">
        <v>0</v>
      </c>
      <c r="Q20" s="4">
        <v>46.23</v>
      </c>
      <c r="R20" s="4">
        <v>332.15</v>
      </c>
      <c r="S20" s="4">
        <v>1484.15</v>
      </c>
    </row>
    <row r="21" spans="1:19" ht="17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23</v>
      </c>
      <c r="F21" s="2" t="s">
        <v>24</v>
      </c>
      <c r="G21" s="2" t="s">
        <v>25</v>
      </c>
      <c r="H21" s="3">
        <v>5500</v>
      </c>
      <c r="I21" s="3">
        <v>5500</v>
      </c>
      <c r="J21" s="4">
        <v>64516</v>
      </c>
      <c r="K21" s="4">
        <v>3913.82</v>
      </c>
      <c r="L21" s="4">
        <v>782.76</v>
      </c>
      <c r="M21" s="4">
        <v>73.62</v>
      </c>
      <c r="N21" s="4">
        <v>64442.38</v>
      </c>
      <c r="O21" s="4">
        <v>2625</v>
      </c>
      <c r="P21" s="4">
        <v>0</v>
      </c>
      <c r="Q21" s="4">
        <v>6847.07</v>
      </c>
      <c r="R21" s="4">
        <v>48699.06</v>
      </c>
      <c r="S21" s="4">
        <v>54970.31</v>
      </c>
    </row>
    <row r="22" spans="1:19" ht="17">
      <c r="A22" s="2" t="s">
        <v>103</v>
      </c>
      <c r="B22" s="2" t="s">
        <v>104</v>
      </c>
      <c r="C22" s="2" t="s">
        <v>105</v>
      </c>
      <c r="D22" s="2" t="s">
        <v>106</v>
      </c>
      <c r="E22" s="2" t="s">
        <v>50</v>
      </c>
      <c r="F22" s="2" t="s">
        <v>24</v>
      </c>
      <c r="G22" s="2" t="s">
        <v>25</v>
      </c>
      <c r="H22" s="3">
        <v>9468</v>
      </c>
      <c r="I22" s="3">
        <v>9468</v>
      </c>
      <c r="J22" s="4">
        <v>102318.55</v>
      </c>
      <c r="K22" s="4">
        <v>0</v>
      </c>
      <c r="L22" s="4">
        <v>0</v>
      </c>
      <c r="M22" s="4">
        <v>125.29</v>
      </c>
      <c r="N22" s="4">
        <v>102193.26</v>
      </c>
      <c r="O22" s="4">
        <v>7101</v>
      </c>
      <c r="P22" s="4">
        <v>0</v>
      </c>
      <c r="Q22" s="4">
        <v>28604.76</v>
      </c>
      <c r="R22" s="4">
        <v>203716.04</v>
      </c>
      <c r="S22" s="4">
        <v>66487.5</v>
      </c>
    </row>
    <row r="23" spans="1:19" ht="17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50</v>
      </c>
      <c r="F23" s="2" t="s">
        <v>24</v>
      </c>
      <c r="G23" s="2" t="s">
        <v>25</v>
      </c>
      <c r="H23" s="3">
        <v>174259</v>
      </c>
      <c r="I23" s="3">
        <v>172016</v>
      </c>
      <c r="J23" s="4">
        <v>1374426.24</v>
      </c>
      <c r="K23" s="4">
        <v>0</v>
      </c>
      <c r="L23" s="4">
        <v>0</v>
      </c>
      <c r="M23" s="4">
        <v>2246.02</v>
      </c>
      <c r="N23" s="4">
        <v>1358868.22</v>
      </c>
      <c r="O23" s="4">
        <v>229908</v>
      </c>
      <c r="P23" s="4">
        <v>0</v>
      </c>
      <c r="Q23" s="4">
        <v>946535.99</v>
      </c>
      <c r="R23" s="4">
        <v>6705903.5599999996</v>
      </c>
      <c r="S23" s="4">
        <v>182424.23</v>
      </c>
    </row>
    <row r="24" spans="1:19" ht="17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50</v>
      </c>
      <c r="F24" s="2" t="s">
        <v>24</v>
      </c>
      <c r="G24" s="2" t="s">
        <v>25</v>
      </c>
      <c r="H24" s="3">
        <v>7368</v>
      </c>
      <c r="I24" s="3">
        <v>7368</v>
      </c>
      <c r="J24" s="4">
        <v>112598.41</v>
      </c>
      <c r="K24" s="4">
        <v>0</v>
      </c>
      <c r="L24" s="4">
        <v>0</v>
      </c>
      <c r="M24" s="4">
        <v>117.71</v>
      </c>
      <c r="N24" s="4">
        <v>112480.7</v>
      </c>
      <c r="O24" s="4">
        <v>7101</v>
      </c>
      <c r="P24" s="4">
        <v>0</v>
      </c>
      <c r="Q24" s="4">
        <v>30409.47</v>
      </c>
      <c r="R24" s="4">
        <v>216349.5</v>
      </c>
      <c r="S24" s="4">
        <v>74970.23</v>
      </c>
    </row>
    <row r="25" spans="1:19" ht="17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50</v>
      </c>
      <c r="F25" s="2" t="s">
        <v>24</v>
      </c>
      <c r="G25" s="2" t="s">
        <v>25</v>
      </c>
      <c r="H25" s="3">
        <v>9658</v>
      </c>
      <c r="I25" s="3">
        <v>9468</v>
      </c>
      <c r="J25" s="4">
        <v>104127.38</v>
      </c>
      <c r="K25" s="4">
        <v>0</v>
      </c>
      <c r="L25" s="4">
        <v>0</v>
      </c>
      <c r="M25" s="4">
        <v>130.44999999999999</v>
      </c>
      <c r="N25" s="4">
        <v>103996.93</v>
      </c>
      <c r="O25" s="4">
        <v>7101</v>
      </c>
      <c r="P25" s="4">
        <v>0</v>
      </c>
      <c r="Q25" s="4">
        <v>18403.93</v>
      </c>
      <c r="R25" s="4">
        <v>131837.56</v>
      </c>
      <c r="S25" s="4">
        <v>78492</v>
      </c>
    </row>
    <row r="26" spans="1:19" ht="17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23</v>
      </c>
      <c r="F26" s="2" t="s">
        <v>24</v>
      </c>
      <c r="G26" s="2" t="s">
        <v>25</v>
      </c>
      <c r="H26" s="3">
        <v>8900</v>
      </c>
      <c r="I26" s="3">
        <v>8900</v>
      </c>
      <c r="J26" s="4">
        <v>69970.740000000005</v>
      </c>
      <c r="K26" s="4">
        <v>0</v>
      </c>
      <c r="L26" s="4">
        <v>0</v>
      </c>
      <c r="M26" s="4">
        <v>116.62</v>
      </c>
      <c r="N26" s="4">
        <v>69854.12</v>
      </c>
      <c r="O26" s="4">
        <v>4125</v>
      </c>
      <c r="P26" s="4">
        <v>0</v>
      </c>
      <c r="Q26" s="4">
        <v>8715.7999999999993</v>
      </c>
      <c r="R26" s="4">
        <v>61698.28</v>
      </c>
      <c r="S26" s="4">
        <v>57013.32</v>
      </c>
    </row>
    <row r="27" spans="1:19" ht="17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23</v>
      </c>
      <c r="F27" s="2" t="s">
        <v>24</v>
      </c>
      <c r="G27" s="2" t="s">
        <v>25</v>
      </c>
      <c r="H27" s="3">
        <v>3079</v>
      </c>
      <c r="I27" s="3">
        <v>3079</v>
      </c>
      <c r="J27" s="4">
        <v>36971.58</v>
      </c>
      <c r="K27" s="4">
        <v>0</v>
      </c>
      <c r="L27" s="4">
        <v>0</v>
      </c>
      <c r="M27" s="4">
        <v>41.28</v>
      </c>
      <c r="N27" s="4">
        <v>36930.300000000003</v>
      </c>
      <c r="O27" s="4">
        <v>7101</v>
      </c>
      <c r="P27" s="4">
        <v>0</v>
      </c>
      <c r="Q27" s="4">
        <v>24227.16</v>
      </c>
      <c r="R27" s="4">
        <v>172618.54</v>
      </c>
      <c r="S27" s="4">
        <v>5602.14</v>
      </c>
    </row>
    <row r="28" spans="1:19" ht="17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23</v>
      </c>
      <c r="F28" s="2" t="s">
        <v>24</v>
      </c>
      <c r="G28" s="2" t="s">
        <v>25</v>
      </c>
      <c r="H28" s="3">
        <v>2500</v>
      </c>
      <c r="I28" s="3">
        <v>2500</v>
      </c>
      <c r="J28" s="4">
        <v>20548.830000000002</v>
      </c>
      <c r="K28" s="4">
        <v>0</v>
      </c>
      <c r="L28" s="4">
        <v>0</v>
      </c>
      <c r="M28" s="4">
        <v>32.729999999999997</v>
      </c>
      <c r="N28" s="4">
        <v>20516.099999999999</v>
      </c>
      <c r="O28" s="4">
        <v>0</v>
      </c>
      <c r="P28" s="4">
        <v>0</v>
      </c>
      <c r="Q28" s="4">
        <v>0</v>
      </c>
      <c r="R28" s="4">
        <v>0</v>
      </c>
      <c r="S28" s="4">
        <v>20516.099999999999</v>
      </c>
    </row>
    <row r="29" spans="1:19" ht="17">
      <c r="A29" s="2" t="s">
        <v>131</v>
      </c>
      <c r="B29" s="2" t="s">
        <v>132</v>
      </c>
      <c r="C29" s="2" t="s">
        <v>133</v>
      </c>
      <c r="D29" s="2" t="s">
        <v>134</v>
      </c>
      <c r="E29" s="2" t="s">
        <v>50</v>
      </c>
      <c r="F29" s="2" t="s">
        <v>24</v>
      </c>
      <c r="G29" s="2" t="s">
        <v>25</v>
      </c>
      <c r="H29" s="3">
        <v>47338</v>
      </c>
      <c r="I29" s="3">
        <v>47338</v>
      </c>
      <c r="J29" s="4">
        <v>428096.04</v>
      </c>
      <c r="K29" s="4">
        <v>0</v>
      </c>
      <c r="L29" s="4">
        <v>0</v>
      </c>
      <c r="M29" s="4">
        <v>625.83000000000004</v>
      </c>
      <c r="N29" s="4">
        <v>427470.21</v>
      </c>
      <c r="O29" s="4">
        <v>35503.5</v>
      </c>
      <c r="P29" s="4">
        <v>0</v>
      </c>
      <c r="Q29" s="4">
        <v>122293.36</v>
      </c>
      <c r="R29" s="4">
        <v>878810.95</v>
      </c>
      <c r="S29" s="4">
        <v>269673.34999999998</v>
      </c>
    </row>
    <row r="30" spans="1:19" ht="17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50</v>
      </c>
      <c r="F30" s="2" t="s">
        <v>24</v>
      </c>
      <c r="G30" s="2" t="s">
        <v>25</v>
      </c>
      <c r="H30" s="3">
        <v>3168</v>
      </c>
      <c r="I30" s="3">
        <v>3168</v>
      </c>
      <c r="J30" s="4">
        <v>39297.879999999997</v>
      </c>
      <c r="K30" s="4">
        <v>0</v>
      </c>
      <c r="L30" s="4">
        <v>0</v>
      </c>
      <c r="M30" s="4">
        <v>46.56</v>
      </c>
      <c r="N30" s="4">
        <v>39251.32</v>
      </c>
      <c r="O30" s="4">
        <v>7101</v>
      </c>
      <c r="P30" s="4">
        <v>0</v>
      </c>
      <c r="Q30" s="4">
        <v>25593.040000000001</v>
      </c>
      <c r="R30" s="4">
        <v>182263.38</v>
      </c>
      <c r="S30" s="4">
        <v>6557.28</v>
      </c>
    </row>
    <row r="31" spans="1:19" ht="17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50</v>
      </c>
      <c r="F31" s="2" t="s">
        <v>24</v>
      </c>
      <c r="G31" s="2" t="s">
        <v>25</v>
      </c>
      <c r="H31" s="3">
        <v>4734</v>
      </c>
      <c r="I31" s="3">
        <v>4734</v>
      </c>
      <c r="J31" s="4">
        <v>59359.55</v>
      </c>
      <c r="K31" s="4">
        <v>0</v>
      </c>
      <c r="L31" s="4">
        <v>0</v>
      </c>
      <c r="M31" s="4">
        <v>63.76</v>
      </c>
      <c r="N31" s="4">
        <v>59295.79</v>
      </c>
      <c r="O31" s="4">
        <v>3550.5</v>
      </c>
      <c r="P31" s="4">
        <v>0</v>
      </c>
      <c r="Q31" s="4">
        <v>10312.219999999999</v>
      </c>
      <c r="R31" s="4">
        <v>73344.679999999993</v>
      </c>
      <c r="S31" s="4">
        <v>45433.07</v>
      </c>
    </row>
    <row r="32" spans="1:19" ht="17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50</v>
      </c>
      <c r="F32" s="2" t="s">
        <v>24</v>
      </c>
      <c r="G32" s="2" t="s">
        <v>25</v>
      </c>
      <c r="H32" s="3">
        <v>59679</v>
      </c>
      <c r="I32" s="3">
        <v>56274</v>
      </c>
      <c r="J32" s="4">
        <v>709261.87</v>
      </c>
      <c r="K32" s="4">
        <v>7587.58</v>
      </c>
      <c r="L32" s="4">
        <v>1517.52</v>
      </c>
      <c r="M32" s="4">
        <v>772.9</v>
      </c>
      <c r="N32" s="4">
        <v>708488.97</v>
      </c>
      <c r="O32" s="4">
        <v>26025</v>
      </c>
      <c r="P32" s="4">
        <v>0</v>
      </c>
      <c r="Q32" s="4">
        <v>130348.59</v>
      </c>
      <c r="R32" s="4">
        <v>927760.41</v>
      </c>
      <c r="S32" s="4">
        <v>552115.38</v>
      </c>
    </row>
    <row r="33" spans="1:19" ht="17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50</v>
      </c>
      <c r="F33" s="2" t="s">
        <v>24</v>
      </c>
      <c r="G33" s="2" t="s">
        <v>25</v>
      </c>
      <c r="H33" s="3">
        <v>26277</v>
      </c>
      <c r="I33" s="3">
        <v>25561</v>
      </c>
      <c r="J33" s="4">
        <v>258275.11</v>
      </c>
      <c r="K33" s="4">
        <v>0</v>
      </c>
      <c r="L33" s="4">
        <v>0</v>
      </c>
      <c r="M33" s="4">
        <v>342.4</v>
      </c>
      <c r="N33" s="4">
        <v>257932.71</v>
      </c>
      <c r="O33" s="4">
        <v>19170.75</v>
      </c>
      <c r="P33" s="4">
        <v>0</v>
      </c>
      <c r="Q33" s="4">
        <v>77259.98</v>
      </c>
      <c r="R33" s="4">
        <v>555086.98</v>
      </c>
      <c r="S33" s="4">
        <v>161501.98000000001</v>
      </c>
    </row>
    <row r="34" spans="1:19" ht="17">
      <c r="A34" s="2" t="s">
        <v>151</v>
      </c>
      <c r="B34" s="2" t="s">
        <v>152</v>
      </c>
      <c r="C34" s="2" t="s">
        <v>153</v>
      </c>
      <c r="D34" s="2" t="s">
        <v>154</v>
      </c>
      <c r="E34" s="2" t="s">
        <v>23</v>
      </c>
      <c r="F34" s="2" t="s">
        <v>24</v>
      </c>
      <c r="G34" s="2" t="s">
        <v>25</v>
      </c>
      <c r="H34" s="3">
        <v>1646</v>
      </c>
      <c r="I34" s="3">
        <v>1646</v>
      </c>
      <c r="J34" s="4">
        <v>20655.419999999998</v>
      </c>
      <c r="K34" s="4">
        <v>0</v>
      </c>
      <c r="L34" s="4">
        <v>0</v>
      </c>
      <c r="M34" s="4">
        <v>23.39</v>
      </c>
      <c r="N34" s="4">
        <v>20632.03</v>
      </c>
      <c r="O34" s="4">
        <v>3550.5</v>
      </c>
      <c r="P34" s="4">
        <v>0</v>
      </c>
      <c r="Q34" s="4">
        <v>8934.94</v>
      </c>
      <c r="R34" s="4">
        <v>63649.69</v>
      </c>
      <c r="S34" s="4">
        <v>8146.59</v>
      </c>
    </row>
    <row r="35" spans="1:19" ht="17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23</v>
      </c>
      <c r="F35" s="2" t="s">
        <v>24</v>
      </c>
      <c r="G35" s="2" t="s">
        <v>25</v>
      </c>
      <c r="H35" s="3">
        <v>14679</v>
      </c>
      <c r="I35" s="3">
        <v>14225</v>
      </c>
      <c r="J35" s="4">
        <v>164230.96</v>
      </c>
      <c r="K35" s="4">
        <v>2125.04</v>
      </c>
      <c r="L35" s="4">
        <v>425.02</v>
      </c>
      <c r="M35" s="4">
        <v>191.78</v>
      </c>
      <c r="N35" s="4">
        <v>164039.18</v>
      </c>
      <c r="O35" s="4">
        <v>8172</v>
      </c>
      <c r="P35" s="4">
        <v>0</v>
      </c>
      <c r="Q35" s="4">
        <v>39725.040000000001</v>
      </c>
      <c r="R35" s="4">
        <v>283030.65999999997</v>
      </c>
      <c r="S35" s="4">
        <v>116142.14</v>
      </c>
    </row>
    <row r="36" spans="1:19" ht="17">
      <c r="A36" s="2"/>
      <c r="B36" s="2"/>
      <c r="C36" s="2"/>
      <c r="D36" s="2"/>
      <c r="E36" s="2"/>
      <c r="F36" s="2"/>
      <c r="G36" s="2"/>
      <c r="H36" s="3"/>
      <c r="I36" s="5">
        <f t="shared" ref="I36" si="0">SUM(I2:I35)</f>
        <v>942453</v>
      </c>
      <c r="J36" s="3"/>
      <c r="K36" s="4"/>
      <c r="L36" s="4"/>
      <c r="M36" s="4"/>
      <c r="N36" s="4"/>
      <c r="O36" s="4"/>
      <c r="P36" s="4"/>
      <c r="Q36" s="4"/>
      <c r="R36" s="4"/>
      <c r="S36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JYXC-DZ-0101035</dc:creator>
  <cp:lastModifiedBy>JYXC-DZ-0101035</cp:lastModifiedBy>
  <dcterms:created xsi:type="dcterms:W3CDTF">2026-07-09T12:08:17Z</dcterms:created>
  <dcterms:modified xsi:type="dcterms:W3CDTF">2026-07-09T12:09:02Z</dcterms:modified>
</cp:coreProperties>
</file>