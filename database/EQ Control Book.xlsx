
<file path=[Content_Types].xml><?xml version="1.0" encoding="utf-8"?>
<ns0:Types xmlns:ns0="http://schemas.openxmlformats.org/package/2006/content-types">
  <ns0:Default Extension="rels" ContentType="application/vnd.openxmlformats-package.relationships+xml"/>
  <ns0:Default Extension="xml" ContentType="application/xml"/>
  <ns0:Default Extension="bin" ContentType="application/vnd.openxmlformats-officedocument.spreadsheetml.printerSettings"/>
  <ns0:Override PartName="/xl/workbook.xml" ContentType="application/vnd.openxmlformats-officedocument.spreadsheetml.sheet.main+xml"/>
  <ns0:Override PartName="/xl/worksheets/sheet1.xml" ContentType="application/vnd.openxmlformats-officedocument.spreadsheetml.worksheet+xml"/>
  <ns0:Override PartName="/docProps/core.xml" ContentType="application/vnd.openxmlformats-package.core-properties+xml"/>
  <ns0:Override PartName="/docProps/app.xml" ContentType="application/vnd.openxmlformats-officedocument.extended-properties+xml"/>
  <ns0:Override PartName="/xl/styles.xml" ContentType="application/vnd.openxmlformats-officedocument.spreadsheetml.styles+xml"/>
  <ns0:Override PartName="/xl/theme/theme1.xml" ContentType="application/vnd.openxmlformats-officedocument.theme+xml"/>
  <ns0:Override PartName="/xl/sharedStrings.xml" ContentType="application/vnd.openxmlformats-officedocument.spreadsheetml.sharedStrings+xml"/>
</ns0: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ns1="http://schemas.microsoft.com/office/spreadsheetml/2015/revision2" xmlns:ns3="http://schemas.microsoft.com/office/spreadsheetml/2010/11/main" xmlns:ns4="http://schemas.microsoft.com/office/spreadsheetml/2018/calcfeatures" xmlns:r="http://schemas.openxmlformats.org/officeDocument/2006/relationships">
  <fileVersion appName="xl" lastEdited="7" lowestEdited="7" rupBuild="30026"/>
  <workbookPr hidePivotFieldList="1" defaultThemeVersion="202300"/>
  <bookViews>
    <workbookView xWindow="28680" yWindow="-120" windowWidth="29040" windowHeight="15720" tabRatio="861" activeTab="6" ns1:uid="{A6DE0D16-D9C7-44F3-AEB5-C55DE21B91A3}"/>
  </bookViews>
  <sheets>
    <sheet name="EQ Control Book" sheetId="1" r:id="rId1"/>
  </sheets>
  <calcPr calcId="191029"/>
  <extLst>
    <ext uri="{140A7094-0E35-4892-8432-C4D2E57EDEB5}">
      <ns3:workbookPr chartTrackingRefBase="1"/>
    </ext>
    <ext uri="{B58B0392-4F1F-4190-BB64-5DF3571DCE5F}">
      <ns4:calcFeatures>
        <ns4:feature name="microsoft.com:RD"/>
        <ns4:feature name="microsoft.com:Single"/>
        <ns4:feature name="microsoft.com:FV"/>
        <ns4:feature name="microsoft.com:CNMTM"/>
        <ns4:feature name="microsoft.com:LET_WF"/>
        <ns4:feature name="microsoft.com:LAMBDA_WF"/>
        <ns4:feature name="microsoft.com:ARRAYTEXT_WF"/>
      </ns4:calcFeatures>
    </ext>
  </extLst>
</workbook>
</file>

<file path=xl/sharedStrings.xml><?xml version="1.0" encoding="utf-8"?>
<sst xmlns="http://schemas.openxmlformats.org/spreadsheetml/2006/main" count="7913" uniqueCount="1884">
  <si>
    <t>Grye Therapeutics, Inc.</t>
  </si>
  <si>
    <t>Detailed Ownership Table - Directors and Officers</t>
  </si>
  <si>
    <t>Value of NEO &amp; BOD stock holdings</t>
  </si>
  <si>
    <t>Holder Name</t>
  </si>
  <si>
    <t># of Common Shares</t>
  </si>
  <si>
    <t xml:space="preserve">% of Common Shares </t>
  </si>
  <si>
    <t>% of Fully Diluted Shares</t>
  </si>
  <si>
    <t>O&amp;D Vested &amp; Exercisable Options</t>
  </si>
  <si>
    <t>Stock Closing Price 
90-day Rolling Avg</t>
  </si>
  <si>
    <t>Officers &amp; Directors</t>
  </si>
  <si>
    <t>NOTES / COMMENTS</t>
  </si>
  <si>
    <t>Stock Value</t>
  </si>
  <si>
    <t>Ma, Songjiang</t>
  </si>
  <si>
    <t>President &amp; Board</t>
  </si>
  <si>
    <t>Shares held by Spouse</t>
  </si>
  <si>
    <t>NEO</t>
  </si>
  <si>
    <t>Ying, Han</t>
  </si>
  <si>
    <t>Chen, Ruoyu</t>
  </si>
  <si>
    <t>CFO</t>
  </si>
  <si>
    <t>Ye, Weiguo</t>
  </si>
  <si>
    <t>Chief Operating Officer</t>
  </si>
  <si>
    <t>Total Officers</t>
  </si>
  <si>
    <t>Luo, Ying</t>
  </si>
  <si>
    <t>Board</t>
  </si>
  <si>
    <t>part held by spouse</t>
  </si>
  <si>
    <t>BOD</t>
  </si>
  <si>
    <t>Eastling, Thomas</t>
  </si>
  <si>
    <t>Usman, Nassim</t>
  </si>
  <si>
    <t>Parry, Renate</t>
  </si>
  <si>
    <t>Carmichael, Gordon</t>
  </si>
  <si>
    <t>Options Outstanding</t>
  </si>
  <si>
    <t>Name</t>
  </si>
  <si>
    <t>Role</t>
  </si>
  <si>
    <t>Transaction Date</t>
  </si>
  <si>
    <t>Direct Common Stock (includes shares in lieu)</t>
  </si>
  <si>
    <t>Indirect Stock holdings</t>
  </si>
  <si>
    <t>Vested Options OS</t>
  </si>
  <si>
    <t>Unvested Options OS</t>
  </si>
  <si>
    <t>Warrants</t>
  </si>
  <si>
    <t>Total CSEs</t>
  </si>
  <si>
    <t>Interim CFO</t>
  </si>
  <si>
    <t>IPO</t>
  </si>
  <si>
    <t>Form 4 10/31/23</t>
  </si>
  <si>
    <t>Form 4 11/20/2023</t>
  </si>
  <si>
    <t>Director (non-empl.)</t>
  </si>
  <si>
    <t>Form 4 10/30/123</t>
  </si>
  <si>
    <t>Effective</t>
  </si>
  <si>
    <t>Expires</t>
  </si>
  <si>
    <t xml:space="preserve">Class III director </t>
  </si>
  <si>
    <t>SH Mtg 2024</t>
  </si>
  <si>
    <t>Ma Songjiang</t>
  </si>
  <si>
    <t>President</t>
  </si>
  <si>
    <t>Form 4 11/20/2023 options</t>
  </si>
  <si>
    <t>Director, Pres. &amp; CEO</t>
  </si>
  <si>
    <t>Missing1866</t>
  </si>
  <si>
    <t>Usman Trust</t>
  </si>
  <si>
    <t>Usman IRA</t>
  </si>
  <si>
    <t>Option Exercise</t>
  </si>
  <si>
    <t>ESPP Purchase</t>
  </si>
  <si>
    <t>Stock Txfr to trust</t>
  </si>
  <si>
    <t>Open Market Purchase</t>
  </si>
  <si>
    <t xml:space="preserve">post  15:1 reverse split: </t>
  </si>
  <si>
    <t>Indirect # corrected 3/19/2024 per Form 4 filing by Gibson Dunn</t>
  </si>
  <si>
    <t>TTL stock</t>
  </si>
  <si>
    <t>Split calc:</t>
  </si>
  <si>
    <t>shares</t>
  </si>
  <si>
    <t>/15</t>
  </si>
  <si>
    <t>rounding</t>
  </si>
  <si>
    <t>Direct</t>
  </si>
  <si>
    <t>Trust</t>
  </si>
  <si>
    <t>IRA</t>
  </si>
  <si>
    <t>Form 4 5/1/2024</t>
  </si>
  <si>
    <t>CEO &amp; Director</t>
  </si>
  <si>
    <t>Form 4 10/31/2023</t>
  </si>
  <si>
    <t>Director</t>
  </si>
  <si>
    <t>Form 4 3/20/2024</t>
  </si>
  <si>
    <t>Appointed 3/20/2024</t>
  </si>
  <si>
    <t>Form 4 10/30/2023</t>
  </si>
  <si>
    <t>Indirect Holding</t>
  </si>
  <si>
    <t>Options held in China CMBI</t>
  </si>
  <si>
    <t>Last Name</t>
  </si>
  <si>
    <t>First Name</t>
  </si>
  <si>
    <t>Middle Name</t>
  </si>
  <si>
    <t>Plan Name</t>
  </si>
  <si>
    <t>Grant Type</t>
  </si>
  <si>
    <t>Employee Grant Number</t>
  </si>
  <si>
    <t>Grant Date</t>
  </si>
  <si>
    <t>No. of Shares Granted</t>
  </si>
  <si>
    <t>Exercise Price per Share</t>
  </si>
  <si>
    <t>Vesting Schedule</t>
  </si>
  <si>
    <t>Vesting Start Date</t>
  </si>
  <si>
    <t>Original VCD (assumed grants)</t>
  </si>
  <si>
    <t>Expire Date</t>
  </si>
  <si>
    <t>Early Exercise Allowed</t>
  </si>
  <si>
    <t>No. of Shares Vested</t>
  </si>
  <si>
    <t>No. of Shares Unvested</t>
  </si>
  <si>
    <t>Shares Exercised / Released</t>
  </si>
  <si>
    <t>Shares Subject To Repurchase</t>
  </si>
  <si>
    <t>Shares Cancelled/Expired</t>
  </si>
  <si>
    <t>Shares Outstanding</t>
  </si>
  <si>
    <t>Outstanding Unvested</t>
  </si>
  <si>
    <t>Outstanding Vested/Exercisable</t>
  </si>
  <si>
    <t>Carmichael</t>
  </si>
  <si>
    <t>Gordon</t>
  </si>
  <si>
    <t>GYRE 2023 Omnibus Incentive Plan</t>
  </si>
  <si>
    <t>Options (NQ)</t>
  </si>
  <si>
    <t>3007</t>
  </si>
  <si>
    <t>3yr Annually</t>
  </si>
  <si>
    <t>No</t>
  </si>
  <si>
    <t>Chen</t>
  </si>
  <si>
    <t>Ruoyu</t>
  </si>
  <si>
    <t>3001</t>
  </si>
  <si>
    <t>100% Immediately</t>
  </si>
  <si>
    <t>3013</t>
  </si>
  <si>
    <t>Eastling</t>
  </si>
  <si>
    <t>Thomas</t>
  </si>
  <si>
    <t>W</t>
  </si>
  <si>
    <t>3002</t>
  </si>
  <si>
    <t>3008</t>
  </si>
  <si>
    <t>Luo</t>
  </si>
  <si>
    <t>Ying</t>
  </si>
  <si>
    <t>3014</t>
  </si>
  <si>
    <t>3009</t>
  </si>
  <si>
    <t>Nussbaum</t>
  </si>
  <si>
    <t>Rodney</t>
  </si>
  <si>
    <t>L</t>
  </si>
  <si>
    <t>3016</t>
  </si>
  <si>
    <t>Parry</t>
  </si>
  <si>
    <t>Renate</t>
  </si>
  <si>
    <t>3010</t>
  </si>
  <si>
    <t>Usman</t>
  </si>
  <si>
    <t>Nassim</t>
  </si>
  <si>
    <t>CBIO 2015 Stock Incentive Plan</t>
  </si>
  <si>
    <t>Options (ISO)</t>
  </si>
  <si>
    <t>2148-ADJ2</t>
  </si>
  <si>
    <t>Manual2 ADJ ISO/NQ Split - 4yr Monthly</t>
  </si>
  <si>
    <t>2148Split-ADJ2</t>
  </si>
  <si>
    <t>2149-ADJ2</t>
  </si>
  <si>
    <t>2149Split-ADJ2</t>
  </si>
  <si>
    <t>CBIO 2018 Omnibus Incentive Plan</t>
  </si>
  <si>
    <t>2150-ADJ2</t>
  </si>
  <si>
    <t>Manual2 ADJ 4yr montly w-12mo cliff</t>
  </si>
  <si>
    <t>2158-ADJ2</t>
  </si>
  <si>
    <t>2158Split-ADJ2</t>
  </si>
  <si>
    <t>2218-ADJ2</t>
  </si>
  <si>
    <t>2218Split-ADJ2</t>
  </si>
  <si>
    <t>2400-ADJ2</t>
  </si>
  <si>
    <t>Manual2 ADJ ISO/NQ Split - 4yr montly w-12mo cliff</t>
  </si>
  <si>
    <t>2400Split-ADJ2</t>
  </si>
  <si>
    <t>3005</t>
  </si>
  <si>
    <t>Han</t>
  </si>
  <si>
    <t>3012</t>
  </si>
  <si>
    <t>Outstanding Calc.</t>
  </si>
  <si>
    <t>Available Shares in Pool</t>
  </si>
  <si>
    <t>Avail + OS</t>
  </si>
  <si>
    <t>Unallocated (Shares available)</t>
  </si>
  <si>
    <t>Granted</t>
  </si>
  <si>
    <t/>
  </si>
  <si>
    <t>Initial Pool</t>
  </si>
  <si>
    <t>Exercised</t>
  </si>
  <si>
    <t>Annual 5% Evergreen (confirmed by C. Johnson @Gibson Dunn 1/5/2024)</t>
  </si>
  <si>
    <t>Repurchased</t>
  </si>
  <si>
    <t>reconcile post-split to SEC filings</t>
  </si>
  <si>
    <t>Cancelled</t>
  </si>
  <si>
    <t>less</t>
  </si>
  <si>
    <t>Outstanding</t>
  </si>
  <si>
    <t>Option Award (NQ) - Gyre Therapeutics, Inc.</t>
  </si>
  <si>
    <t>Awards Outstanding</t>
  </si>
  <si>
    <t>Exercises/Releases</t>
  </si>
  <si>
    <t>Shares Remaining For Issuance</t>
  </si>
  <si>
    <t>Unallocated</t>
  </si>
  <si>
    <t>Awards Outstanding + Shares Remaining for Issuance</t>
  </si>
  <si>
    <t>2023 China Subplan</t>
  </si>
  <si>
    <t>Shares deducted from China subplan to be issued to US-Based employees and managed in Shareworks.</t>
  </si>
  <si>
    <t>Reserved: 1,554,874, Share Pool: 2018 Omnibus Equity Plan Share Pool</t>
  </si>
  <si>
    <t>2018 Omnibus Incentive Plan</t>
  </si>
  <si>
    <t>Reserved: 359,686, Share Pool: CBIO 2015 Stock Incentive Plan Share Pool</t>
  </si>
  <si>
    <t>Total shares issued and outstanding, including shares committed for issuance and reserves, assuming conversion of all convertible securities and exercise of all outstanding awards.</t>
  </si>
  <si>
    <t>CSE Shares* - Common Stock Equivalent (CSE) shares reflects the Common Stock issuable for the security type (option, stock, warrant, notes/debt) after the appropriate conversion ratio is applied with regard to parameters set for aggregation/rounding for each class/series.</t>
  </si>
  <si>
    <t>GYRE Confidential</t>
  </si>
  <si>
    <t>Gyre Therapeutics, Inc. fka Catalyst Biosciences, Inc.</t>
  </si>
  <si>
    <t>Public Float</t>
  </si>
  <si>
    <t>Common shares outstanding as of report date</t>
  </si>
  <si>
    <t>(Last previous trading day)</t>
  </si>
  <si>
    <t>Market cap at date</t>
  </si>
  <si>
    <t>Outstanding shares owned by:</t>
  </si>
  <si>
    <t>Officers:</t>
  </si>
  <si>
    <t>Board Members:</t>
  </si>
  <si>
    <t>Other Affiliates:</t>
  </si>
  <si>
    <t>GNI Group</t>
  </si>
  <si>
    <t>Total Shares held by affiliates</t>
  </si>
  <si>
    <t>Shares held by non-affiliates</t>
  </si>
  <si>
    <t>Value of shares held by non-affiliates</t>
  </si>
  <si>
    <t>1/3 Public Float</t>
  </si>
  <si>
    <t>x 60 Day High</t>
  </si>
  <si>
    <t>Institutiional Investors (from 5% Holders Report)</t>
  </si>
  <si>
    <t>5% + Holders (GNI Group)</t>
  </si>
  <si>
    <t>1% - &lt;5% Holders</t>
  </si>
  <si>
    <t>BOARD SHARES VALUE ROLLING 90-DAY AVERAGE STOCK CLOSING PRICE</t>
  </si>
  <si>
    <t>Trade Date</t>
  </si>
  <si>
    <t>Open</t>
  </si>
  <si>
    <t>High</t>
  </si>
  <si>
    <t>Low</t>
  </si>
  <si>
    <t>Close</t>
  </si>
  <si>
    <t>Adj Close</t>
  </si>
  <si>
    <t>Volume</t>
  </si>
  <si>
    <t>-90 days</t>
  </si>
  <si>
    <t>90 Day / 3mo Avg</t>
  </si>
  <si>
    <t>-180 days</t>
  </si>
  <si>
    <t>6mo Avg</t>
  </si>
  <si>
    <t>-274 days</t>
  </si>
  <si>
    <t>9mo Avg</t>
  </si>
  <si>
    <t>-365 days</t>
  </si>
  <si>
    <t>12mo Avg</t>
  </si>
  <si>
    <t>Qtr End</t>
  </si>
  <si>
    <t>-60 days</t>
  </si>
  <si>
    <t>60-Day Avg Closing Price</t>
  </si>
  <si>
    <t>60-Day High Closing Price</t>
  </si>
  <si>
    <r>
      <t xml:space="preserve">GYRE THERAPEUTICS  </t>
    </r>
    <r>
      <rPr>
        <sz val="11"/>
        <color rgb="FF0000FF"/>
        <rFont val="Aptos Narrow"/>
        <family val="2"/>
        <scheme val="minor"/>
      </rPr>
      <t>^^^^^</t>
    </r>
  </si>
  <si>
    <t>Holder</t>
  </si>
  <si>
    <t>Issue Date</t>
  </si>
  <si>
    <t>Shares</t>
  </si>
  <si>
    <t>Exercise Price</t>
  </si>
  <si>
    <t>Converts to Common</t>
  </si>
  <si>
    <t>GNI USA</t>
  </si>
  <si>
    <t>EQUINITI CONTROL BOOK DETAIL</t>
  </si>
  <si>
    <t>Issuer Name: GYRE THERAPEUTICS, INC.</t>
  </si>
  <si>
    <t>Security Name: GYRE THERAPEUTICS INC (NEW)</t>
  </si>
  <si>
    <t>Control Books</t>
  </si>
  <si>
    <t>Security ID</t>
  </si>
  <si>
    <t>Security</t>
  </si>
  <si>
    <t>As of Date</t>
  </si>
  <si>
    <t>Process Date</t>
  </si>
  <si>
    <t>Trans. Type</t>
  </si>
  <si>
    <t>Trans. No.</t>
  </si>
  <si>
    <t>Broker No.</t>
  </si>
  <si>
    <t>Shares Issued</t>
  </si>
  <si>
    <t>Shares Retired</t>
  </si>
  <si>
    <t>Issued &amp; Outstanding</t>
  </si>
  <si>
    <t>Comment</t>
  </si>
  <si>
    <t>Net Shares issued in Period</t>
  </si>
  <si>
    <t>27591</t>
  </si>
  <si>
    <t>GYRE</t>
  </si>
  <si>
    <t>Agreement</t>
  </si>
  <si>
    <t>-</t>
  </si>
  <si>
    <t>Issues to 4 China SH</t>
  </si>
  <si>
    <t>Lan Ping per 11/16/2023 TA inst ltr</t>
  </si>
  <si>
    <t>O.I.</t>
  </si>
  <si>
    <t>B/C  14689 Targacept</t>
  </si>
  <si>
    <t>B/C  20290 Catalyst Old Old unexchanged</t>
  </si>
  <si>
    <t>B/C  21328 Catalyst pre-merger post split</t>
  </si>
  <si>
    <t>Retirement</t>
  </si>
  <si>
    <t>Fractions paid out DTC</t>
  </si>
  <si>
    <t>Cede-Fast DWAC</t>
  </si>
  <si>
    <t>OpEx R. Jones</t>
  </si>
  <si>
    <t>OpEx E. Williams</t>
  </si>
  <si>
    <t>OpEx A. Hunt</t>
  </si>
  <si>
    <t>CEDE-FAST</t>
  </si>
  <si>
    <t>0015</t>
  </si>
  <si>
    <t>OpEx P. Scarpulla</t>
  </si>
  <si>
    <t>GNI conversion Preferred X</t>
  </si>
  <si>
    <t>OpEx T. Colton</t>
  </si>
  <si>
    <t>GYRE THERAPEUTICS INC (NEW)</t>
  </si>
  <si>
    <t>DIR # CA 4 McClennan &amp; De Souza</t>
  </si>
  <si>
    <t>DIR # CA 5 McClennan &amp; De Souza</t>
  </si>
  <si>
    <t>DIR # CA 6 McClennan &amp; De Souza</t>
  </si>
  <si>
    <t>DIR # CA 7 McClennan &amp; De Souza</t>
  </si>
  <si>
    <t>DIR # CA 8 McClennan &amp; De Souza</t>
  </si>
  <si>
    <t>DIR # CA 9 McClennan</t>
  </si>
  <si>
    <t>DIR # CA 10  Usman 10b5</t>
  </si>
  <si>
    <t>DIR # CA 11 Wu (from March)</t>
  </si>
  <si>
    <t>DIR # CA 12 Usman</t>
  </si>
  <si>
    <t>DIR # CA 13 Wu</t>
  </si>
  <si>
    <t>DIR # CA 14 Wu (729 sh) McLennan (2,000 sh)</t>
  </si>
  <si>
    <t>DIR # CA 15 Wu</t>
  </si>
  <si>
    <t>DIR # CA 16 (Wu 1,412) McLennan (2,000)</t>
  </si>
  <si>
    <t>DIR # CA 17 Wu</t>
  </si>
  <si>
    <t>DIR # CA 18 Wu</t>
  </si>
  <si>
    <t>DIR # CA 19 Wu</t>
  </si>
  <si>
    <t>DIR # CA 20 (McLennan 1,700)(Wu 4,657)</t>
  </si>
  <si>
    <t>DIR #: CA 21 McLennan</t>
  </si>
  <si>
    <t>DIR # CA 22 (McLennan 4,315)(Wu 6,000)</t>
  </si>
  <si>
    <t>DIR # CA 23 (McLennan 656)(Wu 1,265)</t>
  </si>
  <si>
    <t>DIR # CA 24 Wu</t>
  </si>
  <si>
    <t>DIR # CA 25 Wu</t>
  </si>
  <si>
    <t>DIR # CA 26 Wu</t>
  </si>
  <si>
    <t>DIR # CA 27 Usman</t>
  </si>
  <si>
    <t>DIR # CA 28 (McLennan 100)(Wu 3,800)</t>
  </si>
  <si>
    <t>DIR # CA 29 Wu</t>
  </si>
  <si>
    <t>Shareholder List; Registered Shareholders; All Share Types; All Accounts; Opened Only; All Accounts; All Countries; All States</t>
  </si>
  <si>
    <t>Shareholders</t>
  </si>
  <si>
    <t>Position</t>
  </si>
  <si>
    <t>Acct No.</t>
  </si>
  <si>
    <t>Cert.</t>
  </si>
  <si>
    <t>Book</t>
  </si>
  <si>
    <t>%OS</t>
  </si>
  <si>
    <t>Holder Type</t>
  </si>
  <si>
    <t>State</t>
  </si>
  <si>
    <t>Country</t>
  </si>
  <si>
    <t>Total</t>
  </si>
  <si>
    <t>Employee Number</t>
  </si>
  <si>
    <t>Grant Name</t>
  </si>
  <si>
    <t>Exercise Method</t>
  </si>
  <si>
    <t>L1J000212</t>
  </si>
  <si>
    <t>2023.10.31 Merger NQ $6.93</t>
  </si>
  <si>
    <t>2023.10.31 NQ US-Based BCI Options $0.75</t>
  </si>
  <si>
    <t>Data from EDGAR SC13's @</t>
  </si>
  <si>
    <t>Fully Diluted cap table @</t>
  </si>
  <si>
    <t>Common Stock OS @</t>
  </si>
  <si>
    <t>Shareholder’s Name</t>
  </si>
  <si>
    <t>Common Stock *</t>
  </si>
  <si>
    <t>Total CSEs **</t>
  </si>
  <si>
    <t>Percentage owned of the Class</t>
  </si>
  <si>
    <t>Percentage Owned of fully diluted</t>
  </si>
  <si>
    <t>SC13 file date &amp; link</t>
  </si>
  <si>
    <t>&gt;5% Holders</t>
  </si>
  <si>
    <t xml:space="preserve"> GNI Group Ltd. **</t>
  </si>
  <si>
    <t>SC13D/A 1/22/2024</t>
  </si>
  <si>
    <t>Form 4 10/30/23</t>
  </si>
  <si>
    <t>Total &gt;5%</t>
  </si>
  <si>
    <t>* Owned common stock (non-derivatives)</t>
  </si>
  <si>
    <t>Common Stock Equivalents</t>
  </si>
  <si>
    <r>
      <t>(1) Consists of: (i)</t>
    </r>
    <r>
      <rPr>
        <sz val="10"/>
        <color rgb="FFFF0000"/>
        <rFont val="Aptos Narrow"/>
        <family val="2"/>
        <scheme val="minor"/>
      </rPr>
      <t xml:space="preserve"> 417,768</t>
    </r>
    <r>
      <rPr>
        <sz val="10"/>
        <rFont val="Aptos Narrow"/>
        <family val="2"/>
        <scheme val="minor"/>
      </rPr>
      <t xml:space="preserve"> shares of Common Stock (defined below), previously issued to GNI Group Ltd., a company incorporated under the laws of Japan with limited liability (“GNI Japan”), and GNI Hong Kong Limited, a company incorporated under the laws of Hong Kong with limited liability (“GNI Hong Kong”), in a private issuance pursuant to that certain Asset Purchase Agreement, dated December 26, 2022, as amended on March 29, 2023 (the “F351 Agreement”) and transferred to GNI USA, Inc., a Delaware corporation (“GNI USA”) in a reorganization among GNI Japan related parties (the “Reorganization”), (ii)</t>
    </r>
    <r>
      <rPr>
        <sz val="10"/>
        <color rgb="FFFF0000"/>
        <rFont val="Aptos Narrow"/>
        <family val="2"/>
        <scheme val="minor"/>
      </rPr>
      <t xml:space="preserve"> 8,226,666</t>
    </r>
    <r>
      <rPr>
        <sz val="10"/>
        <rFont val="Aptos Narrow"/>
        <family val="2"/>
        <scheme val="minor"/>
      </rPr>
      <t xml:space="preserve"> shares of Common Stock issued upon conversion of 12,340 shares of Convertible Preferred Stock (defined below), which were previously issued to GNI Japan and GNI Hong Kong in a private issuance pursuant to the F351 Agreement and transferred to GNI USA in the Reorganization, (iii)</t>
    </r>
    <r>
      <rPr>
        <sz val="10"/>
        <color rgb="FFFF0000"/>
        <rFont val="Aptos Narrow"/>
        <family val="2"/>
        <scheme val="minor"/>
      </rPr>
      <t xml:space="preserve"> 63,588,119</t>
    </r>
    <r>
      <rPr>
        <sz val="10"/>
        <rFont val="Aptos Narrow"/>
        <family val="2"/>
        <scheme val="minor"/>
      </rPr>
      <t xml:space="preserve"> shares of Common Stock issued to GNI USA pursuant to that certain Business Combination Agreement, dated as of December 26, 2022 and as amended on March 29, 2023 and August 30, 2023 (the “Business Combination Agreement”), (iv) </t>
    </r>
    <r>
      <rPr>
        <sz val="10"/>
        <color rgb="FFFF0000"/>
        <rFont val="Aptos Narrow"/>
        <family val="2"/>
        <scheme val="minor"/>
      </rPr>
      <t>540,666</t>
    </r>
    <r>
      <rPr>
        <sz val="10"/>
        <rFont val="Aptos Narrow"/>
        <family val="2"/>
        <scheme val="minor"/>
      </rPr>
      <t xml:space="preserve"> shares of Common Stock issued upon conversion of 811 shares of Convertible Preferred Stock, which were issued to GNI USA in a private placement (the “Private Placement”) pursuant to that certain Securities Purchase Agreement, dated October 27, 2023 and (v)</t>
    </r>
    <r>
      <rPr>
        <sz val="10"/>
        <color rgb="FF0000CC"/>
        <rFont val="Aptos Narrow"/>
        <family val="2"/>
        <scheme val="minor"/>
      </rPr>
      <t xml:space="preserve"> 540,666 shares of Common Stock issuable upon conversion of 811 shares of Convertible Preferred Stock underlying the warrants issued to GNI USA in the Private Placement.</t>
    </r>
  </si>
  <si>
    <t>stock</t>
  </si>
  <si>
    <t>derivative</t>
  </si>
  <si>
    <t>total SC13D/A</t>
  </si>
  <si>
    <t>Difference owned by GNI Japan</t>
  </si>
  <si>
    <t>GNI USA percentage</t>
  </si>
  <si>
    <t>By Spouse Lan Ping</t>
  </si>
  <si>
    <t>DIR# CA 36 Wu</t>
  </si>
  <si>
    <t>DIR # CA 31 (McLennan 2,938)(Wu 2,471)</t>
  </si>
  <si>
    <t>DIR # CA 32 (McLennan 312)(Wu 200)</t>
  </si>
  <si>
    <t>DIR # CA 33 (McLennan 400)(Wu 311)</t>
  </si>
  <si>
    <t>DIR # CA 34 (McLennan 2,143)(Wu 2,018)</t>
  </si>
  <si>
    <t>DIR # CA 35 Wu</t>
  </si>
  <si>
    <t>DIR # CA 30 (McLennan 900)(Wu 9,792)</t>
  </si>
  <si>
    <t>All currencies are in US Dollars unless specified.</t>
  </si>
  <si>
    <t># of Fully Diluted Shares, Including vested  options</t>
  </si>
  <si>
    <t>THIS REPORT SHOWS ONLY GRANTS WITH SHARES STILL OUTSTANDING. IT IS NOT A FULL LIST OF ALL GRANTS; THEREFORE THE ONLY MEANINGFUL TOTALS ARE OUTSTANDING VESTED AND UNVESTED. NO OTHER TOTALS ARE SHOWN FOR THIS REASON.</t>
  </si>
  <si>
    <t>All Grants are fully vested as of 10/31/2023</t>
  </si>
  <si>
    <t>Optionee name</t>
  </si>
  <si>
    <t>Gyre Grant Date</t>
  </si>
  <si>
    <t>Gyre Options 
(Adjusted For Reverse Split and Rounding as Noted)</t>
  </si>
  <si>
    <t>Service Start Date</t>
  </si>
  <si>
    <t>Expire Date (84mo)</t>
  </si>
  <si>
    <t>Shares Cancelled</t>
  </si>
  <si>
    <t>Shares Expired</t>
  </si>
  <si>
    <t>Earliest Expire Cancel Date</t>
  </si>
  <si>
    <t>Latest Expire Cancel Date</t>
  </si>
  <si>
    <t>NQ</t>
  </si>
  <si>
    <t>100% Immed.</t>
  </si>
  <si>
    <t>Director, General Manager</t>
  </si>
  <si>
    <t>Gyre 2023 China SubPlan</t>
  </si>
  <si>
    <t>Ye Wiguo</t>
  </si>
  <si>
    <t>Executive Vice President, Chief Operating Officer</t>
  </si>
  <si>
    <t>Han Lin</t>
  </si>
  <si>
    <t>Vice President, Chief Financial Officer</t>
  </si>
  <si>
    <t>Zhu Mingli</t>
  </si>
  <si>
    <t>Vice President</t>
  </si>
  <si>
    <t>Chu Zhenhui</t>
  </si>
  <si>
    <t>Zhu Qingmei</t>
  </si>
  <si>
    <t>Senior Quality Director</t>
  </si>
  <si>
    <t>Zhang Ling</t>
  </si>
  <si>
    <t>Vice President of Clinical Medicine</t>
  </si>
  <si>
    <t>Ye Yanping</t>
  </si>
  <si>
    <t>R&amp;D Director</t>
  </si>
  <si>
    <t>Liu Qijia</t>
  </si>
  <si>
    <t>Wang Wen</t>
  </si>
  <si>
    <t>Secretary of the Board</t>
  </si>
  <si>
    <t>Cao Lin</t>
  </si>
  <si>
    <t>Regional Manager</t>
  </si>
  <si>
    <t>Chen Jianqi</t>
  </si>
  <si>
    <t>Researcher</t>
  </si>
  <si>
    <t>Gong Chaoping</t>
  </si>
  <si>
    <t>District Manager</t>
  </si>
  <si>
    <t>He Hongwei</t>
  </si>
  <si>
    <t>He Xinghui</t>
  </si>
  <si>
    <t>Deputy Director of Production Base</t>
  </si>
  <si>
    <t>Huang Binli</t>
  </si>
  <si>
    <t>Deputy Manager of Audit</t>
  </si>
  <si>
    <t>Li Min</t>
  </si>
  <si>
    <t>Deputy Manager of Production</t>
  </si>
  <si>
    <t>Li Shibo</t>
  </si>
  <si>
    <t>Manager of General Pharmaceutical Division</t>
  </si>
  <si>
    <t>Li Wei</t>
  </si>
  <si>
    <t>Human Resources Manager</t>
  </si>
  <si>
    <t>Liu Zhaohui</t>
  </si>
  <si>
    <t>Ren Luhua</t>
  </si>
  <si>
    <t>R&amp;D Manager</t>
  </si>
  <si>
    <t>Wang Bin</t>
  </si>
  <si>
    <t>Manager of Cangzhou Infrastructure Office</t>
  </si>
  <si>
    <t>Wang Hualiang</t>
  </si>
  <si>
    <t>Engineering Equipment Manager</t>
  </si>
  <si>
    <t>Wang Ping</t>
  </si>
  <si>
    <t>Quality Control Manager</t>
  </si>
  <si>
    <t>Wang Yajing</t>
  </si>
  <si>
    <t>Purchasing Manager</t>
  </si>
  <si>
    <t>Yan Ruiping</t>
  </si>
  <si>
    <t>Zhan Weixia</t>
  </si>
  <si>
    <t>Legal Supervisor</t>
  </si>
  <si>
    <t>Zhang Hong</t>
  </si>
  <si>
    <t>Zhang Jianli</t>
  </si>
  <si>
    <t>Financial Manager</t>
  </si>
  <si>
    <t>Zhao Rong</t>
  </si>
  <si>
    <t>Zhou Dairong</t>
  </si>
  <si>
    <t>Ye Xinchun</t>
  </si>
  <si>
    <t>Registrar</t>
  </si>
  <si>
    <t>SUN HUI</t>
  </si>
  <si>
    <t>Liu Yi</t>
  </si>
  <si>
    <t>Commercial Director</t>
  </si>
  <si>
    <t>Zhang Li</t>
  </si>
  <si>
    <t>Wang Yu</t>
  </si>
  <si>
    <t>Senior Medical Manager</t>
  </si>
  <si>
    <t>Fan Lingna</t>
  </si>
  <si>
    <t>Project Manager</t>
  </si>
  <si>
    <t>Chen Jiaren</t>
  </si>
  <si>
    <t>Product Manager</t>
  </si>
  <si>
    <t>Yao Xia</t>
  </si>
  <si>
    <t>Marketing Manager</t>
  </si>
  <si>
    <t>Ji Zhe</t>
  </si>
  <si>
    <t>Regional Marketing Manager</t>
  </si>
  <si>
    <t>Sui Yongjie</t>
  </si>
  <si>
    <t>Senior Regional Manager</t>
  </si>
  <si>
    <t>Yu Xiaoyue</t>
  </si>
  <si>
    <t>Tian Yangwei</t>
  </si>
  <si>
    <t>Zhu Fengxi</t>
  </si>
  <si>
    <t>Provincial Manager</t>
  </si>
  <si>
    <t>Zheng Xiulian</t>
  </si>
  <si>
    <t>Sales Executive</t>
  </si>
  <si>
    <t>Li Jingwei</t>
  </si>
  <si>
    <t>Li Xiaoli</t>
  </si>
  <si>
    <t>Gao Hao</t>
  </si>
  <si>
    <t>Xi Xiaoxue</t>
  </si>
  <si>
    <t>Ren Dongqin</t>
  </si>
  <si>
    <t>Sun Chenglin</t>
  </si>
  <si>
    <t>Zhu Yanmin</t>
  </si>
  <si>
    <t>Senior Sales Executive</t>
  </si>
  <si>
    <t>Zhuang Jinhao</t>
  </si>
  <si>
    <t>Hu Shuai</t>
  </si>
  <si>
    <t>Fan Xue</t>
  </si>
  <si>
    <t>Wang Lan</t>
  </si>
  <si>
    <t>Senior Commercial Regional Manager</t>
  </si>
  <si>
    <t>Gao Yuan</t>
  </si>
  <si>
    <t>North Commercial District Manager</t>
  </si>
  <si>
    <t>Zhang Lei</t>
  </si>
  <si>
    <t>Feng Weiwei</t>
  </si>
  <si>
    <t>Xue Yongyong</t>
  </si>
  <si>
    <t>Shi Hong</t>
  </si>
  <si>
    <t>Luo Lingzhi</t>
  </si>
  <si>
    <t>SOURCE:  BC Stock Option List as of 6/1/2023</t>
  </si>
  <si>
    <t>Gyre Therapeutics, Inc. - China Subplan Grants Assumed from BCI</t>
  </si>
  <si>
    <t>Gyre 2023 China SubPlan Total</t>
  </si>
  <si>
    <t>Gyre Options 
(Adjusted For Reverse Split)</t>
  </si>
  <si>
    <t>2023 NQ BOD Grants $6.93</t>
  </si>
  <si>
    <t>L1J100105</t>
  </si>
  <si>
    <t>Non-Employee Advisor/Consultant</t>
  </si>
  <si>
    <t>G&amp;A</t>
  </si>
  <si>
    <t>Manual2 ADJ 1yr Monthly</t>
  </si>
  <si>
    <t>ADJ2 of 2018.06.15 NQ $24.94 BOD</t>
  </si>
  <si>
    <t>Former Non-Employee</t>
  </si>
  <si>
    <t>Manual2 ADJ 3yr Monthly</t>
  </si>
  <si>
    <t>ADJ2 of 2021.02.08 $5.89 NQSplit PB</t>
  </si>
  <si>
    <t>ADJ2 of 2021.02.08 $5.89 ISO PB</t>
  </si>
  <si>
    <t>ADJ2 of 2020.01.23 Mgmt $6.85 - NQ</t>
  </si>
  <si>
    <t>ADJ2 of 2020.01.23 Mgmt $6.85 - ISO</t>
  </si>
  <si>
    <t>ADJ2 of 2019.01.24  $7.97 - NQ</t>
  </si>
  <si>
    <t>ADJ2 of 2019.01.24 ISO $7.97</t>
  </si>
  <si>
    <t>ADJ2 of 2018.07.30 $9.68  - NU - NQ</t>
  </si>
  <si>
    <t>ADJ2 of 2018.01.12 $15.13  - NU - NQ</t>
  </si>
  <si>
    <t>ADJ2 of 2018.01.12 $15.13 ISO - NU</t>
  </si>
  <si>
    <t>ADJ2 of 2017.07.11 $4.63  - NU - NQ</t>
  </si>
  <si>
    <t>ADJ2 of 2017.07.11 $4.63 ISO - NU</t>
  </si>
  <si>
    <t>Manual2 ADJ 100% @1yr cliff</t>
  </si>
  <si>
    <t>ADJ2 of 2021.06.09 NQ $4.55 BOD</t>
  </si>
  <si>
    <t>ADJ2 of 2020.06.11 NQ $7.18 BOD</t>
  </si>
  <si>
    <t>10006</t>
  </si>
  <si>
    <t>2024.03.20 NQ $17.86 BOD</t>
  </si>
  <si>
    <t>10007</t>
  </si>
  <si>
    <t>10005</t>
  </si>
  <si>
    <t>Ling</t>
  </si>
  <si>
    <t>2449-ADJ2</t>
  </si>
  <si>
    <t>Augustine</t>
  </si>
  <si>
    <t>Lawlor</t>
  </si>
  <si>
    <t>C0051</t>
  </si>
  <si>
    <t>2269-ADJ2</t>
  </si>
  <si>
    <t>2185-ADJ2</t>
  </si>
  <si>
    <t>ADJ2 of 2019.06.13 BOD $7.46</t>
  </si>
  <si>
    <t>2101-ADJ2</t>
  </si>
  <si>
    <t>2066-ADJ2</t>
  </si>
  <si>
    <t>ADJ2 of 2017.07.13 NQ $4.40 - BOD</t>
  </si>
  <si>
    <t>Manual2 ADJ Manual-1yr Monthly</t>
  </si>
  <si>
    <t>2052-ADJ2</t>
  </si>
  <si>
    <t>ADJ2 of 2016.06.09_CBIO 2015 Stock Incentive Plan_NQ_1.88_1.88</t>
  </si>
  <si>
    <t>2448-ADJ2</t>
  </si>
  <si>
    <t>Andrea</t>
  </si>
  <si>
    <t>Hunt</t>
  </si>
  <si>
    <t>C0059</t>
  </si>
  <si>
    <t>2268-ADJ2</t>
  </si>
  <si>
    <t>2184-ADJ2</t>
  </si>
  <si>
    <t>2100-ADJ2</t>
  </si>
  <si>
    <t>2077-ADJ2</t>
  </si>
  <si>
    <t>ADJ2 of 2017.10.25 NQ $4.72 BOD</t>
  </si>
  <si>
    <t>10002</t>
  </si>
  <si>
    <t>L1J100102</t>
  </si>
  <si>
    <t>Employee - Exempt</t>
  </si>
  <si>
    <t>10004</t>
  </si>
  <si>
    <t>Original VCD (migrated grants)</t>
  </si>
  <si>
    <t>Participant Type @ Report Date</t>
  </si>
  <si>
    <t>Expire Date (participant view)</t>
  </si>
  <si>
    <t>Deputy Director of Investment Projects Marketing</t>
  </si>
  <si>
    <t>Grants in US-Based and non-China subplans are controlled in Shareworks and appear on Shareworks reports</t>
  </si>
  <si>
    <t>OS Unvested</t>
  </si>
  <si>
    <t>Stock close price on report date</t>
  </si>
  <si>
    <t>2023.10.31 NQ Non-China BCI Options $0.75</t>
  </si>
  <si>
    <t>GYRE 2023 Non-China BCI grants</t>
  </si>
  <si>
    <t>2023 Non-China BCI grants</t>
  </si>
  <si>
    <t>Share pools</t>
  </si>
  <si>
    <t>10011</t>
  </si>
  <si>
    <t>Lan</t>
  </si>
  <si>
    <t>Ping</t>
  </si>
  <si>
    <t>3017</t>
  </si>
  <si>
    <t>Mizuho securities</t>
  </si>
  <si>
    <t>Nomura securities</t>
  </si>
  <si>
    <t>FINAL FORM 4 FILED 6/28/2024</t>
  </si>
  <si>
    <t>resigned effective 6/30/2024</t>
  </si>
  <si>
    <t>Covers Lan Ping BCI grant</t>
  </si>
  <si>
    <t>Equity Inc.Sub-Pl. Futu Network Technology</t>
  </si>
  <si>
    <t>DIR # CA 38 Usman</t>
  </si>
  <si>
    <t>DIR #: CA 39 Usman</t>
  </si>
  <si>
    <t>DIR # CA 40 Usman</t>
  </si>
  <si>
    <t>DIR # CA 41 Wu</t>
  </si>
  <si>
    <t>DIR #: CA 42 Wu</t>
  </si>
  <si>
    <t>DIR # CA 46 Usman</t>
  </si>
  <si>
    <t>DIR # CA 47 Usman</t>
  </si>
  <si>
    <t>DIR # CA 48 Wu</t>
  </si>
  <si>
    <t>DIR # CA 44 (Wu 7,500) (Usman 4,900)</t>
  </si>
  <si>
    <t>DIR #: CA 43 Wu</t>
  </si>
  <si>
    <t>DIR # CA 45 (Wu 5,000) (Usman 100)</t>
  </si>
  <si>
    <t>DIR #: CA 37 (Wu 12,935) (Usman 3,452)</t>
  </si>
  <si>
    <t>FUTU SHARES
On 7/26/2024, the company issued 7.8m shares of common stock to Futu Network Technology Limited (the Hong Kong manager for BCI options) which is the entire share pool for the BCI options.  Futu will distribute the shares directly to people who exercise BCI options.</t>
  </si>
  <si>
    <t>Ma</t>
  </si>
  <si>
    <t>2023.10.31 NQ Non-US BCI Options $0.75</t>
  </si>
  <si>
    <t>Moved Lan Ping non-China BCI grant from China Subplan to GYRE 2023 Non-China BCI grants share pool</t>
  </si>
  <si>
    <t>Moved shares from BCI Futu account to Shareworks for S. Ma, H. Lin, and W. Ye</t>
  </si>
  <si>
    <t>SubPlan shares all issued as common stock c/o Futu to settle BCI exercises as they occur</t>
  </si>
  <si>
    <t>Options Managed in Shareworks</t>
  </si>
  <si>
    <t>Options Managed in Futu</t>
  </si>
  <si>
    <t>shares held by Spouse YUEYING ZHU in street name</t>
  </si>
  <si>
    <t>BC China Employee</t>
  </si>
  <si>
    <t>10015</t>
  </si>
  <si>
    <t>Lin</t>
  </si>
  <si>
    <t>3028</t>
  </si>
  <si>
    <t>10013</t>
  </si>
  <si>
    <t>Songjiang</t>
  </si>
  <si>
    <t>3029</t>
  </si>
  <si>
    <t>10014</t>
  </si>
  <si>
    <t>Weiguo</t>
  </si>
  <si>
    <t>Ye</t>
  </si>
  <si>
    <t>3030</t>
  </si>
  <si>
    <t>Options moved from BCI/Futu to SW: Ma, Weiguo, Lin</t>
  </si>
  <si>
    <t xml:space="preserve"> 5% of  Volume for  prev 5 trading days</t>
  </si>
  <si>
    <t>Avg  Volume for  prev 5 trading days</t>
  </si>
  <si>
    <t>*Subject to annual approval</t>
  </si>
  <si>
    <t>User ID</t>
  </si>
  <si>
    <t>Employee No.</t>
  </si>
  <si>
    <t>Grant No.</t>
  </si>
  <si>
    <t>Exercise Date</t>
  </si>
  <si>
    <t>Exercised Qty</t>
  </si>
  <si>
    <t>Ordered Qty</t>
  </si>
  <si>
    <t>Deduction/Selling Qty.</t>
  </si>
  <si>
    <t>Dealt Qty.</t>
  </si>
  <si>
    <t>Grant Price(USD)</t>
  </si>
  <si>
    <t>Exercise Cost(USD)</t>
  </si>
  <si>
    <t>12942000024</t>
  </si>
  <si>
    <t>朱雁岷</t>
  </si>
  <si>
    <t>K00364</t>
  </si>
  <si>
    <t>26800466</t>
  </si>
  <si>
    <t>2023-10-31</t>
  </si>
  <si>
    <t>2024-08-29</t>
  </si>
  <si>
    <t>0.75000</t>
  </si>
  <si>
    <t>12942000003</t>
  </si>
  <si>
    <t>范玲娜</t>
  </si>
  <si>
    <t>K00381</t>
  </si>
  <si>
    <t>26241911</t>
  </si>
  <si>
    <t>2024-08-26</t>
  </si>
  <si>
    <t>12942000060</t>
  </si>
  <si>
    <t>王瑜</t>
  </si>
  <si>
    <t>K00536</t>
  </si>
  <si>
    <t>26527143</t>
  </si>
  <si>
    <t>2024-08-30</t>
  </si>
  <si>
    <t>2024-08-27</t>
  </si>
  <si>
    <t>12942000055</t>
  </si>
  <si>
    <t>姬喆</t>
  </si>
  <si>
    <t>K00576</t>
  </si>
  <si>
    <t>29184131</t>
  </si>
  <si>
    <t>2024-08-28</t>
  </si>
  <si>
    <t>12942000009</t>
  </si>
  <si>
    <t>刘一</t>
  </si>
  <si>
    <t>K00619</t>
  </si>
  <si>
    <t>26340945</t>
  </si>
  <si>
    <t>12942000032</t>
  </si>
  <si>
    <t>章莉</t>
  </si>
  <si>
    <t>K00675</t>
  </si>
  <si>
    <t>26591702</t>
  </si>
  <si>
    <t>DIR # CA 49 Wu</t>
  </si>
  <si>
    <t>DIR # CA 50 Wu</t>
  </si>
  <si>
    <t>Songjiang Ma</t>
  </si>
  <si>
    <t>Represents (i) 4,514,380 shares underlying the options directly held by Mr. Ma that are exercisable within 60 days after the date hereof and (ii) 2,942,467 shares directly held by Yueying Zhu (“Ms. Zhu”), the spouse of Mr. Ma.</t>
  </si>
  <si>
    <t>total</t>
  </si>
  <si>
    <t>SC13D  9/6/2024</t>
  </si>
  <si>
    <t>Orig BCI shares</t>
  </si>
  <si>
    <t>Moved to Shareworks</t>
  </si>
  <si>
    <t>Options in Futu should be</t>
  </si>
  <si>
    <t>3023</t>
  </si>
  <si>
    <t>3yr Monthly</t>
  </si>
  <si>
    <t>3019</t>
  </si>
  <si>
    <t>4yr montly w-12mo cliff</t>
  </si>
  <si>
    <t>3024</t>
  </si>
  <si>
    <t>1yr Monthly</t>
  </si>
  <si>
    <t>Epstein</t>
  </si>
  <si>
    <t>David</t>
  </si>
  <si>
    <t>M.</t>
  </si>
  <si>
    <t>3018</t>
  </si>
  <si>
    <t>3025</t>
  </si>
  <si>
    <t>3020</t>
  </si>
  <si>
    <t>3021</t>
  </si>
  <si>
    <t>3026</t>
  </si>
  <si>
    <t>3027</t>
  </si>
  <si>
    <t>3022</t>
  </si>
  <si>
    <t>Epstein, David M.</t>
  </si>
  <si>
    <t>Nussbaum, Rodney</t>
  </si>
  <si>
    <t>Ying, Han (Michael)</t>
  </si>
  <si>
    <t>Total Options</t>
  </si>
  <si>
    <t>options (60-day)</t>
  </si>
  <si>
    <t>** Common Stock Equivalents consist of common stock, preferred stock, warrants, and 60-day options</t>
  </si>
  <si>
    <t>Actual OS Total</t>
  </si>
  <si>
    <r>
      <t xml:space="preserve">GYRE 2023 China Subplan </t>
    </r>
    <r>
      <rPr>
        <i/>
        <sz val="11"/>
        <rFont val="Arial"/>
        <family val="2"/>
      </rPr>
      <t>(Plan exhausted)</t>
    </r>
  </si>
  <si>
    <t>Reserved: 9,202,609, Share Pool: GYRE 2023 Non-China BCI grants</t>
  </si>
  <si>
    <t>2024.08.14 BOD NQ $9.98</t>
  </si>
  <si>
    <t>2024.08.14 NQ $9.98</t>
  </si>
  <si>
    <t>10012</t>
  </si>
  <si>
    <t>2024.08.06 NQ $10.79 BOD</t>
  </si>
  <si>
    <t>Gyre Therapeutics, Inc. - Payroll Exercise Report with Delivery Information</t>
  </si>
  <si>
    <t>Exercise Entry Date</t>
  </si>
  <si>
    <t>Settlement Date</t>
  </si>
  <si>
    <t>Reference Number</t>
  </si>
  <si>
    <t>Grant Price</t>
  </si>
  <si>
    <t>Market Price at Time of Grant</t>
  </si>
  <si>
    <t>Fair Market Value</t>
  </si>
  <si>
    <t>Sale Price</t>
  </si>
  <si>
    <t>Stock Option Benefit</t>
  </si>
  <si>
    <t>Taxable Compensation</t>
  </si>
  <si>
    <t>Total Fair Market Value</t>
  </si>
  <si>
    <t>Capital Gain/Loss</t>
  </si>
  <si>
    <t>Sale Proceeds</t>
  </si>
  <si>
    <t>Company Proceeds</t>
  </si>
  <si>
    <t>Net Proceeds to Participant</t>
  </si>
  <si>
    <r>
      <t>1:15</t>
    </r>
    <r>
      <rPr>
        <sz val="11"/>
        <color theme="1"/>
        <rFont val="Aptos Narrow"/>
        <family val="2"/>
        <scheme val="minor"/>
      </rPr>
      <t xml:space="preserve"> Stock Split</t>
    </r>
  </si>
  <si>
    <r>
      <rPr>
        <sz val="11"/>
        <color rgb="FFFF0000"/>
        <rFont val="Aptos Narrow"/>
        <family val="2"/>
        <scheme val="minor"/>
      </rPr>
      <t>vvvvvv</t>
    </r>
    <r>
      <rPr>
        <b/>
        <sz val="11"/>
        <color rgb="FFFF0000"/>
        <rFont val="Aptos Narrow"/>
        <family val="2"/>
        <scheme val="minor"/>
      </rPr>
      <t xml:space="preserve"> PREVIOUS CBIO STOCK PRICES</t>
    </r>
  </si>
  <si>
    <t>DIR # CA 51 Wu</t>
  </si>
  <si>
    <t>DIR # CA 52 Wu</t>
  </si>
  <si>
    <t>DIR # CA 53 Wu</t>
  </si>
  <si>
    <t>DIR # CA 54 Wu</t>
  </si>
  <si>
    <t>DIR # CA 55 Wu</t>
  </si>
  <si>
    <t>in Total</t>
  </si>
  <si>
    <t>汪兰</t>
  </si>
  <si>
    <t>K00401</t>
  </si>
  <si>
    <t>刘兆辉</t>
  </si>
  <si>
    <t>K00285</t>
  </si>
  <si>
    <t>姚黠</t>
  </si>
  <si>
    <t>K00693</t>
  </si>
  <si>
    <t>刘淇嘉</t>
  </si>
  <si>
    <t>K00373</t>
  </si>
  <si>
    <t>张洪</t>
  </si>
  <si>
    <t>K00331</t>
  </si>
  <si>
    <t>罗灵芝</t>
  </si>
  <si>
    <t>ZB0050</t>
  </si>
  <si>
    <t>田杨威</t>
  </si>
  <si>
    <t>K00353</t>
  </si>
  <si>
    <t>赵荣</t>
  </si>
  <si>
    <t>K00161</t>
  </si>
  <si>
    <t>隋永杰</t>
  </si>
  <si>
    <t>K00306</t>
  </si>
  <si>
    <t>冯伟卫</t>
  </si>
  <si>
    <t>K00263</t>
  </si>
  <si>
    <t>Form 4 8/14/2024</t>
  </si>
  <si>
    <t>Reserved: 0, Share Pool: 2023 China Subplan</t>
  </si>
  <si>
    <t>GNI Japan Percentage</t>
  </si>
  <si>
    <t>26291840</t>
  </si>
  <si>
    <t>12942000011</t>
  </si>
  <si>
    <t>2024-09-27</t>
  </si>
  <si>
    <t>Futubull ID</t>
  </si>
  <si>
    <t>26648271</t>
  </si>
  <si>
    <t>12942000054</t>
  </si>
  <si>
    <t>2024-09-13</t>
  </si>
  <si>
    <t>26288323</t>
  </si>
  <si>
    <t>12942000013</t>
  </si>
  <si>
    <t>26177698</t>
  </si>
  <si>
    <t>12942000026</t>
  </si>
  <si>
    <t>26559348</t>
  </si>
  <si>
    <t>12942000040</t>
  </si>
  <si>
    <t>26793941</t>
  </si>
  <si>
    <t>12942000030</t>
  </si>
  <si>
    <t>7479316</t>
  </si>
  <si>
    <t>12942000014</t>
  </si>
  <si>
    <t>26571073</t>
  </si>
  <si>
    <t>12942000049</t>
  </si>
  <si>
    <t>2024-09-12</t>
  </si>
  <si>
    <t>26368561</t>
  </si>
  <si>
    <t>12942000018</t>
  </si>
  <si>
    <t>2024-09-11</t>
  </si>
  <si>
    <t>2024-09-10</t>
  </si>
  <si>
    <t>2024-09-09</t>
  </si>
  <si>
    <t>2024-09-06</t>
  </si>
  <si>
    <t>26467750</t>
  </si>
  <si>
    <t>12942000001</t>
  </si>
  <si>
    <t>2024-09-05</t>
  </si>
  <si>
    <t>2024-09-04</t>
  </si>
  <si>
    <t>2024-09-03</t>
  </si>
  <si>
    <t>DIR # CA 56 Usman</t>
  </si>
  <si>
    <t>DIR # CA 57 (Usman 1,500) ( Charles 3,521)</t>
  </si>
  <si>
    <t>DIR # CA 58 Charles</t>
  </si>
  <si>
    <t>DIR # CA 59 (Usman 2,000) ( Charles 3,050)</t>
  </si>
  <si>
    <t>DIR # CA 60 (Usman 2,000) ( Charles 587)</t>
  </si>
  <si>
    <t>DIR # CA 61 Charles</t>
  </si>
  <si>
    <t>DIR # CA 62 Charles</t>
  </si>
  <si>
    <t>DIR # CA 63 (Usman 2,000) ( Charles 180)</t>
  </si>
  <si>
    <t>DIR # CA 64 Usman</t>
  </si>
  <si>
    <t>DIR # CA 65 Usman</t>
  </si>
  <si>
    <t>DIR # CA 66 (Usman 2,000) ( Charles 2,968)</t>
  </si>
  <si>
    <t>DIR # CA 67  (Usman 2,000) ( Charles 2,180)</t>
  </si>
  <si>
    <t xml:space="preserve">GYRE </t>
  </si>
  <si>
    <t>DIR # CA 69 (Usman 2,000) ( Charles 1,200)</t>
  </si>
  <si>
    <t>DIR # CA 70 (Charles 1,922)</t>
  </si>
  <si>
    <t>DIR # CA 71 (Usman 1,000)</t>
  </si>
  <si>
    <t>DIR #: CA 72 (Usman 3,000)</t>
  </si>
  <si>
    <t>DIR # CA 73 (Usman 1,104)</t>
  </si>
  <si>
    <t>DIR # CA 74 (Usman 3,896) (Charles 5,000)</t>
  </si>
  <si>
    <t>DIR # CA 75 (Usman 1,445) (Errol 400)</t>
  </si>
  <si>
    <t>DIR # CA 68 (Usman 2,000) (Charles 1,100)</t>
  </si>
  <si>
    <t>何红伟</t>
  </si>
  <si>
    <t>K00235</t>
  </si>
  <si>
    <t>26729055</t>
  </si>
  <si>
    <t>12942000058</t>
  </si>
  <si>
    <t>2024-11-29</t>
  </si>
  <si>
    <t>于小越</t>
  </si>
  <si>
    <t>K00236</t>
  </si>
  <si>
    <t>26735376</t>
  </si>
  <si>
    <t>12942000045</t>
  </si>
  <si>
    <t>曹琳</t>
  </si>
  <si>
    <t>K00220</t>
  </si>
  <si>
    <t>26597991</t>
  </si>
  <si>
    <t>12942000042</t>
  </si>
  <si>
    <t>何星辉</t>
  </si>
  <si>
    <t>K00105</t>
  </si>
  <si>
    <t>26789748</t>
  </si>
  <si>
    <t>12942000041</t>
  </si>
  <si>
    <t>张建丽</t>
  </si>
  <si>
    <t>K00478</t>
  </si>
  <si>
    <t>26551077</t>
  </si>
  <si>
    <t>12942000044</t>
  </si>
  <si>
    <t>王雅静</t>
  </si>
  <si>
    <t>K00005</t>
  </si>
  <si>
    <t>26533705</t>
  </si>
  <si>
    <t>12942000028</t>
  </si>
  <si>
    <t>2024-11-27</t>
  </si>
  <si>
    <t>陈建麒</t>
  </si>
  <si>
    <t>K00456</t>
  </si>
  <si>
    <t>26758648</t>
  </si>
  <si>
    <t>12942000015</t>
  </si>
  <si>
    <t>2024-11-26</t>
  </si>
  <si>
    <t>战伟霞</t>
  </si>
  <si>
    <t>K00476</t>
  </si>
  <si>
    <t>26438053</t>
  </si>
  <si>
    <t>12942000039</t>
  </si>
  <si>
    <t>2024-11-25</t>
  </si>
  <si>
    <t>李巍</t>
  </si>
  <si>
    <t>K00003</t>
  </si>
  <si>
    <t>26219737</t>
  </si>
  <si>
    <t>12942000006</t>
  </si>
  <si>
    <t>2024-11-22</t>
  </si>
  <si>
    <t>2024-11-21</t>
  </si>
  <si>
    <t>朱鸣理</t>
  </si>
  <si>
    <t>K00039</t>
  </si>
  <si>
    <t>34870751</t>
  </si>
  <si>
    <t>12942000033</t>
  </si>
  <si>
    <t>2024-11-20</t>
  </si>
  <si>
    <t>薛勇勇</t>
  </si>
  <si>
    <t>K00205</t>
  </si>
  <si>
    <t>26602971</t>
  </si>
  <si>
    <t>12942000010</t>
  </si>
  <si>
    <t>2024-11-18</t>
  </si>
  <si>
    <t>王斌</t>
  </si>
  <si>
    <t>K00267</t>
  </si>
  <si>
    <t>26397643</t>
  </si>
  <si>
    <t>12942000020</t>
  </si>
  <si>
    <t>2024-11-12</t>
  </si>
  <si>
    <t>2024-11-11</t>
  </si>
  <si>
    <t>2024-11-07</t>
  </si>
  <si>
    <t>2024-11-06</t>
  </si>
  <si>
    <t>2024-11-05</t>
  </si>
  <si>
    <t>2024-11-04</t>
  </si>
  <si>
    <t>庄金皓</t>
  </si>
  <si>
    <t>K00423</t>
  </si>
  <si>
    <t>26205428</t>
  </si>
  <si>
    <t>12942000037</t>
  </si>
  <si>
    <t>DR/DSPP</t>
  </si>
  <si>
    <t>Total Value USD</t>
  </si>
  <si>
    <t>Opened</t>
  </si>
  <si>
    <t>Status</t>
  </si>
  <si>
    <t>Closed</t>
  </si>
  <si>
    <t>Direct Deposit</t>
  </si>
  <si>
    <t>Special Code</t>
  </si>
  <si>
    <t>Address</t>
  </si>
  <si>
    <t>SSN/TIN</t>
  </si>
  <si>
    <t>Bad Address</t>
  </si>
  <si>
    <t>Email Address</t>
  </si>
  <si>
    <t>Last Calendar Contact Date</t>
  </si>
  <si>
    <t>0019</t>
  </si>
  <si>
    <t>ATM</t>
  </si>
  <si>
    <t>DIR # CA 76 (Lin Han,2000)</t>
  </si>
  <si>
    <t>李敏</t>
  </si>
  <si>
    <t>K00027</t>
  </si>
  <si>
    <t>26757718</t>
  </si>
  <si>
    <t>12942000008</t>
  </si>
  <si>
    <t>2024-12-30</t>
  </si>
  <si>
    <t>公超平</t>
  </si>
  <si>
    <t>K00266</t>
  </si>
  <si>
    <t>26799725</t>
  </si>
  <si>
    <t>12942000012</t>
  </si>
  <si>
    <t>2024-12-17</t>
  </si>
  <si>
    <t>李晓莉</t>
  </si>
  <si>
    <t>K00307</t>
  </si>
  <si>
    <t>26277842</t>
  </si>
  <si>
    <t>12942000048</t>
  </si>
  <si>
    <t>2024-12-16</t>
  </si>
  <si>
    <t>陈嘉人</t>
  </si>
  <si>
    <t>K00498</t>
  </si>
  <si>
    <t>26857317</t>
  </si>
  <si>
    <t>12942000005</t>
  </si>
  <si>
    <t>施宏</t>
  </si>
  <si>
    <t>K00352</t>
  </si>
  <si>
    <t>26365125</t>
  </si>
  <si>
    <t>12942000047</t>
  </si>
  <si>
    <t>2024-12-13</t>
  </si>
  <si>
    <t>王苹</t>
  </si>
  <si>
    <t>K00332</t>
  </si>
  <si>
    <t>26584003</t>
  </si>
  <si>
    <t>12942000023</t>
  </si>
  <si>
    <t>2024-12-12</t>
  </si>
  <si>
    <t>2024-12-11</t>
  </si>
  <si>
    <t>2024-12-10</t>
  </si>
  <si>
    <t>2024-12-09</t>
  </si>
  <si>
    <t>樊雪</t>
  </si>
  <si>
    <t>K00218</t>
  </si>
  <si>
    <t>26793836</t>
  </si>
  <si>
    <t>12942000046</t>
  </si>
  <si>
    <t>2024-12-06</t>
  </si>
  <si>
    <t>2024-12-05</t>
  </si>
  <si>
    <t>胡帅</t>
  </si>
  <si>
    <t>K00245</t>
  </si>
  <si>
    <t>26479081</t>
  </si>
  <si>
    <t>12942000002</t>
  </si>
  <si>
    <t>王化良</t>
  </si>
  <si>
    <t>K00127</t>
  </si>
  <si>
    <t>26273391</t>
  </si>
  <si>
    <t>12942000016</t>
  </si>
  <si>
    <t>2024-12-04</t>
  </si>
  <si>
    <t>任鲁华</t>
  </si>
  <si>
    <t>K00129</t>
  </si>
  <si>
    <t>26672072</t>
  </si>
  <si>
    <t>12942000035</t>
  </si>
  <si>
    <t>褚振辉</t>
  </si>
  <si>
    <t>K00125</t>
  </si>
  <si>
    <t>26415741</t>
  </si>
  <si>
    <t>12942000034</t>
  </si>
  <si>
    <t>2024-12-03</t>
  </si>
  <si>
    <t>2024-12-02</t>
  </si>
  <si>
    <t>Manual- Current</t>
  </si>
  <si>
    <t>SC13D  9/6/2024,</t>
  </si>
  <si>
    <t>DIR # CA 77 (Lin Han, 8000)</t>
  </si>
  <si>
    <t>Mita Securities</t>
  </si>
  <si>
    <t>2025-01-14</t>
  </si>
  <si>
    <t>李静卫</t>
  </si>
  <si>
    <t>K00363</t>
  </si>
  <si>
    <t>22356146</t>
  </si>
  <si>
    <t>12942000056</t>
  </si>
  <si>
    <t>2025-01-13</t>
  </si>
  <si>
    <t>2025-01-08</t>
  </si>
  <si>
    <t>2025-01-07</t>
  </si>
  <si>
    <t>Zhang</t>
  </si>
  <si>
    <t>3031</t>
  </si>
  <si>
    <t>10009</t>
  </si>
  <si>
    <t>2025.01.05 NQ $10.79 BOD</t>
  </si>
  <si>
    <t>Ping, Zhang</t>
  </si>
  <si>
    <t>SEC FORM 4 1/7/2025</t>
  </si>
  <si>
    <t>周代荣</t>
  </si>
  <si>
    <t>K00216</t>
  </si>
  <si>
    <t>26370857</t>
  </si>
  <si>
    <t>12942000017</t>
  </si>
  <si>
    <t>2025-03-31</t>
  </si>
  <si>
    <t>2025-03-28</t>
  </si>
  <si>
    <t>闫瑞萍</t>
  </si>
  <si>
    <t>K00182</t>
  </si>
  <si>
    <t>28680089</t>
  </si>
  <si>
    <t>12942000051</t>
  </si>
  <si>
    <t>2025-03-27</t>
  </si>
  <si>
    <t>叶卫国</t>
  </si>
  <si>
    <t>K00252</t>
  </si>
  <si>
    <t>26823650</t>
  </si>
  <si>
    <t>12942000007</t>
  </si>
  <si>
    <t>李世波</t>
  </si>
  <si>
    <t>K00101</t>
  </si>
  <si>
    <t>26499307</t>
  </si>
  <si>
    <t>12942000027</t>
  </si>
  <si>
    <t>黄滨利</t>
  </si>
  <si>
    <t>K00038</t>
  </si>
  <si>
    <t>26319531</t>
  </si>
  <si>
    <t>12942000053</t>
  </si>
  <si>
    <t>2025-03-26</t>
  </si>
  <si>
    <t>2025-03-25</t>
  </si>
  <si>
    <t>汪雯</t>
  </si>
  <si>
    <t>K00287</t>
  </si>
  <si>
    <t>40001303</t>
  </si>
  <si>
    <t>12942000050</t>
  </si>
  <si>
    <t>2025-03-24</t>
  </si>
  <si>
    <t>张岭</t>
  </si>
  <si>
    <t>K00400</t>
  </si>
  <si>
    <t>26556948</t>
  </si>
  <si>
    <t>12942000019</t>
  </si>
  <si>
    <t>2025-03-21</t>
  </si>
  <si>
    <t>2025-03-20</t>
  </si>
  <si>
    <t>2025-03-19</t>
  </si>
  <si>
    <t>2025-03-07</t>
  </si>
  <si>
    <t>Details report</t>
  </si>
  <si>
    <t>2025.03.07 NQ $10.32</t>
  </si>
  <si>
    <t>3032</t>
  </si>
  <si>
    <t>4yr Monthly</t>
  </si>
  <si>
    <t>2025.03.07 NQ $10.32 - Perf.</t>
  </si>
  <si>
    <t>3033</t>
  </si>
  <si>
    <t>Check</t>
  </si>
  <si>
    <t>Sharepool increase per 3/20/25 gyre officer certificate</t>
  </si>
  <si>
    <t>Reserved: 8,972,648, Share Pool: 2023 Omnibus Incentive Plan</t>
  </si>
  <si>
    <t>March exercise</t>
  </si>
  <si>
    <t>DIR # CA 79 (Eastling 15,000)</t>
  </si>
  <si>
    <t>DIR # CA 78 (Seline Miller 75,426)</t>
  </si>
  <si>
    <t>2025-04-15</t>
  </si>
  <si>
    <t>2025-04-10</t>
  </si>
  <si>
    <t>2025-04-03</t>
  </si>
  <si>
    <t>2025-04-02</t>
  </si>
  <si>
    <t>祝丰溪</t>
  </si>
  <si>
    <t>K00471</t>
  </si>
  <si>
    <t>26618992</t>
  </si>
  <si>
    <t>12942000057</t>
  </si>
  <si>
    <t>韩林</t>
  </si>
  <si>
    <t>K00399</t>
  </si>
  <si>
    <t>26764241</t>
  </si>
  <si>
    <t>12942000043</t>
  </si>
  <si>
    <t>2025-04-01</t>
  </si>
  <si>
    <t>Manual- Special_Vesting</t>
  </si>
  <si>
    <t>3034</t>
  </si>
  <si>
    <t>April 50,000 exercised in Futu</t>
  </si>
  <si>
    <t>2025.03.07 NQ $10.32 - Perf.2</t>
  </si>
  <si>
    <t>10020</t>
  </si>
  <si>
    <t>3035</t>
  </si>
  <si>
    <t>Manual- 36 months</t>
  </si>
  <si>
    <t>SEC FORM 4</t>
  </si>
  <si>
    <t>April exercise</t>
  </si>
  <si>
    <t>Cede-Fast</t>
  </si>
  <si>
    <t>Pro sup</t>
  </si>
  <si>
    <t>Greenshoes proceeds</t>
  </si>
  <si>
    <t>2025-05-30</t>
  </si>
  <si>
    <t>叶雁萍</t>
  </si>
  <si>
    <t>YF0001</t>
  </si>
  <si>
    <t>26219816</t>
  </si>
  <si>
    <t>12942000004</t>
  </si>
  <si>
    <t>2025-05-22</t>
  </si>
  <si>
    <t>SEC FORM 4 5/27/2025</t>
  </si>
  <si>
    <t>2025-06-16</t>
  </si>
  <si>
    <t>2025-06-13</t>
  </si>
  <si>
    <t>2025-06-12</t>
  </si>
  <si>
    <t>2025-06-11</t>
  </si>
  <si>
    <t>2025-06-09</t>
  </si>
  <si>
    <t>高豪</t>
  </si>
  <si>
    <t>K00238</t>
  </si>
  <si>
    <t>30273812</t>
  </si>
  <si>
    <t>12942000029</t>
  </si>
  <si>
    <t>2025-06-06</t>
  </si>
  <si>
    <t>朱庆梅</t>
  </si>
  <si>
    <t>K00126</t>
  </si>
  <si>
    <t>26311403</t>
  </si>
  <si>
    <t>12942000025</t>
  </si>
  <si>
    <t>2025-06-05</t>
  </si>
  <si>
    <t>2025-06-04</t>
  </si>
  <si>
    <t>2025-06-03</t>
  </si>
  <si>
    <t>2025-06-02</t>
  </si>
  <si>
    <t>3036</t>
  </si>
  <si>
    <t>3037</t>
  </si>
  <si>
    <t>3038</t>
  </si>
  <si>
    <t>3039</t>
  </si>
  <si>
    <t>3040</t>
  </si>
  <si>
    <t>3045</t>
  </si>
  <si>
    <t>Executive Chair</t>
  </si>
  <si>
    <t>2025.06.4 BOD NQ $8.58</t>
  </si>
  <si>
    <t>2025.05.27 NQ $10.18</t>
  </si>
  <si>
    <t>100010</t>
  </si>
  <si>
    <t>Wei (David)</t>
  </si>
  <si>
    <t>3046</t>
  </si>
  <si>
    <t>Ying Luo</t>
  </si>
  <si>
    <t>Futu</t>
  </si>
  <si>
    <t>Represents (i) 3,355,852 shares underlying the options directly held by Mr. Luo that are exercisable within 60 days after the date hereof, (ii) 2,840,376 shares directly held by Ping Lan (“Ms. Lan”), the spouse of Mr. Luo, and (iii) 2,262,755 shares underlying the options directly held by Ms. Lan that are exercisable within 60 days after the date hereof.</t>
  </si>
  <si>
    <t>Cost Center</t>
  </si>
  <si>
    <t>2025-07-22</t>
  </si>
  <si>
    <t>用户ID</t>
  </si>
  <si>
    <t>姓名</t>
  </si>
  <si>
    <t>工号</t>
  </si>
  <si>
    <t>牛牛号</t>
  </si>
  <si>
    <t>在职状态</t>
  </si>
  <si>
    <t>关联人士身份</t>
  </si>
  <si>
    <t>成交净值（美元）</t>
  </si>
  <si>
    <t>授予成本（美元）</t>
  </si>
  <si>
    <t>行权/归属手续费（美元）</t>
  </si>
  <si>
    <t>现金净收益(美元)</t>
  </si>
  <si>
    <t>在职</t>
  </si>
  <si>
    <t>否</t>
  </si>
  <si>
    <t>离职</t>
  </si>
  <si>
    <t>DIR # CA 80 (Lin Han, 5000)</t>
  </si>
  <si>
    <t>DIR # CA 82 (Lin Han, 5000)</t>
  </si>
  <si>
    <t>DIR # CA 81 (Lin Han, 5000)</t>
  </si>
  <si>
    <t>2025-08-28</t>
  </si>
  <si>
    <t>2025-08-27</t>
  </si>
  <si>
    <t>2025-08-26</t>
  </si>
  <si>
    <t>2025-08-06</t>
  </si>
  <si>
    <t>2025-08-01</t>
  </si>
  <si>
    <t>3047</t>
  </si>
  <si>
    <t>2025.08.05 NQ $6.92</t>
  </si>
  <si>
    <t>DIR # CA 83 (Lin Han, 5000)</t>
  </si>
  <si>
    <t>2025-09-11</t>
  </si>
  <si>
    <t>2025-09-10</t>
  </si>
  <si>
    <t>2025-09-09</t>
  </si>
  <si>
    <t>2025-09-08</t>
  </si>
  <si>
    <t>2025-09-05</t>
  </si>
  <si>
    <t>2025-09-04</t>
  </si>
  <si>
    <t>2025-09-03</t>
  </si>
  <si>
    <t>No records found</t>
  </si>
  <si>
    <t>100015</t>
  </si>
  <si>
    <t>Weng</t>
  </si>
  <si>
    <t>Dan</t>
  </si>
  <si>
    <t>2025.08.18 NQ $7.85</t>
  </si>
  <si>
    <t>3048</t>
  </si>
  <si>
    <t>财产转让所得税</t>
  </si>
  <si>
    <t>出售总数量</t>
  </si>
  <si>
    <t>成交总数量</t>
  </si>
  <si>
    <t>成交总金额（美元）</t>
  </si>
  <si>
    <t>财产转让所得总应税收入（美元）</t>
  </si>
  <si>
    <t>财产转让所得总应纳税额（美元）</t>
  </si>
  <si>
    <t>交易总费用（美元）</t>
  </si>
  <si>
    <t>本期合计代扣税额（美元）</t>
  </si>
  <si>
    <t>本期合计代扣税额（人民币）</t>
  </si>
  <si>
    <t>员工可见</t>
  </si>
  <si>
    <t>SVP Science</t>
  </si>
  <si>
    <t>Dan, Weng</t>
  </si>
  <si>
    <t>Being CEO till Aug 7, 2025</t>
  </si>
  <si>
    <t>Note: This report is ran quarterly to calculate the public float.</t>
  </si>
  <si>
    <t>2025-11-28</t>
  </si>
  <si>
    <t>叶辛淳</t>
  </si>
  <si>
    <t>ZB0035</t>
  </si>
  <si>
    <t>26431486</t>
  </si>
  <si>
    <t>12942000052</t>
  </si>
  <si>
    <t>2025-11-26</t>
  </si>
  <si>
    <t>2025-11-25</t>
  </si>
  <si>
    <t>2025-11-24</t>
  </si>
  <si>
    <t>2025-11-21</t>
  </si>
  <si>
    <t>2025-11-20</t>
  </si>
  <si>
    <t>2025-11-19</t>
  </si>
  <si>
    <t>2025-11-18</t>
  </si>
  <si>
    <t>2025-11-17</t>
  </si>
  <si>
    <t>2025-11-14</t>
  </si>
  <si>
    <t>2025-11-13</t>
  </si>
  <si>
    <t>2025-11-12</t>
  </si>
  <si>
    <t>2025-11-11</t>
  </si>
  <si>
    <t>2025-11-10</t>
  </si>
  <si>
    <t>2025-11-07</t>
  </si>
  <si>
    <t>2025-11-06</t>
  </si>
  <si>
    <t>2025-11-05</t>
  </si>
  <si>
    <t>2025-11-04</t>
  </si>
  <si>
    <t>GYRE 2025 BC Subplan</t>
  </si>
  <si>
    <t>BC1</t>
  </si>
  <si>
    <t>Subplan</t>
  </si>
  <si>
    <t>BC</t>
  </si>
  <si>
    <t>BC Subplan FUTU</t>
  </si>
  <si>
    <t>3049</t>
  </si>
  <si>
    <t>Vest - FUTU</t>
  </si>
  <si>
    <t>Omnibus Inc. Pl.</t>
  </si>
  <si>
    <t>2025-12-30</t>
  </si>
  <si>
    <t>2025-12-29</t>
  </si>
  <si>
    <t>2025-12-26</t>
  </si>
  <si>
    <t>2025-12-24</t>
  </si>
  <si>
    <t>2025-12-23</t>
  </si>
  <si>
    <t>2025-12-22</t>
  </si>
  <si>
    <t>2025-12-19</t>
  </si>
  <si>
    <t>2025-12-18</t>
  </si>
  <si>
    <t>2025-12-17</t>
  </si>
  <si>
    <t>孙城霖</t>
  </si>
  <si>
    <t>K00206</t>
  </si>
  <si>
    <t>26347089</t>
  </si>
  <si>
    <t>12942000021</t>
  </si>
  <si>
    <t>2025-12-16</t>
  </si>
  <si>
    <t>2025-12-15</t>
  </si>
  <si>
    <t>2025-12-12</t>
  </si>
  <si>
    <t>2025-12-11</t>
  </si>
  <si>
    <t>2025-12-10</t>
  </si>
  <si>
    <t>2025-12-09</t>
  </si>
  <si>
    <t>2025-12-08</t>
  </si>
  <si>
    <t>2025-12-05</t>
  </si>
  <si>
    <t>2025-12-04</t>
  </si>
  <si>
    <t>郑秀莲</t>
  </si>
  <si>
    <t>K00301</t>
  </si>
  <si>
    <t>26744348</t>
  </si>
  <si>
    <t>12942000059</t>
  </si>
  <si>
    <t>2025-12-03</t>
  </si>
  <si>
    <t>2025-12-02</t>
  </si>
  <si>
    <t>2025-12-01</t>
  </si>
  <si>
    <t>求和项:归属数量</t>
  </si>
  <si>
    <t>列标签</t>
  </si>
  <si>
    <t>行标签</t>
  </si>
  <si>
    <t>2025-11</t>
  </si>
  <si>
    <t>2025-12</t>
  </si>
  <si>
    <t>2026-01</t>
  </si>
  <si>
    <t>2026-02</t>
  </si>
  <si>
    <t>2026-03</t>
  </si>
  <si>
    <t>2026-04</t>
  </si>
  <si>
    <t>2026-05</t>
  </si>
  <si>
    <t>2026-06</t>
  </si>
  <si>
    <t>2026-07</t>
  </si>
  <si>
    <t>2026-08</t>
  </si>
  <si>
    <t>2026-09</t>
  </si>
  <si>
    <t>2026-10</t>
  </si>
  <si>
    <t>2026-11</t>
  </si>
  <si>
    <t>2026-12</t>
  </si>
  <si>
    <t>2027-01</t>
  </si>
  <si>
    <t>2027-02</t>
  </si>
  <si>
    <t>2027-03</t>
  </si>
  <si>
    <t>2027-04</t>
  </si>
  <si>
    <t>2027-05</t>
  </si>
  <si>
    <t>2027-06</t>
  </si>
  <si>
    <t>2027-07</t>
  </si>
  <si>
    <t>2027-08</t>
  </si>
  <si>
    <t>2027-09</t>
  </si>
  <si>
    <t>2027-10</t>
  </si>
  <si>
    <t>2027-11</t>
  </si>
  <si>
    <t>2027-12</t>
  </si>
  <si>
    <t>2028-01</t>
  </si>
  <si>
    <t>2028-02</t>
  </si>
  <si>
    <t>2028-03</t>
  </si>
  <si>
    <t>2026-05 Performance part</t>
  </si>
  <si>
    <t>2027-05 Performance part</t>
  </si>
  <si>
    <t>(空白)</t>
  </si>
  <si>
    <t>总计</t>
  </si>
  <si>
    <t>K00004</t>
  </si>
  <si>
    <t>K00007</t>
  </si>
  <si>
    <t>K00009</t>
  </si>
  <si>
    <t>K00023</t>
  </si>
  <si>
    <t>K00024</t>
  </si>
  <si>
    <t>K00030</t>
  </si>
  <si>
    <t>K00040</t>
  </si>
  <si>
    <t>K00041</t>
  </si>
  <si>
    <t>K00054</t>
  </si>
  <si>
    <t>K00056</t>
  </si>
  <si>
    <t>K00089</t>
  </si>
  <si>
    <t>K00110</t>
  </si>
  <si>
    <t>K00114</t>
  </si>
  <si>
    <t>K00137</t>
  </si>
  <si>
    <t>K00138</t>
  </si>
  <si>
    <t>K00143</t>
  </si>
  <si>
    <t>K00147</t>
  </si>
  <si>
    <t>K00158</t>
  </si>
  <si>
    <t>K00165</t>
  </si>
  <si>
    <t>K00166</t>
  </si>
  <si>
    <t>K00184</t>
  </si>
  <si>
    <t>K00197</t>
  </si>
  <si>
    <t>K00199</t>
  </si>
  <si>
    <t>K00202</t>
  </si>
  <si>
    <t>K00207</t>
  </si>
  <si>
    <t>K00214</t>
  </si>
  <si>
    <t>K00215</t>
  </si>
  <si>
    <t>K00221</t>
  </si>
  <si>
    <t>K00225</t>
  </si>
  <si>
    <t>K00230</t>
  </si>
  <si>
    <t>K00232</t>
  </si>
  <si>
    <t>K00237</t>
  </si>
  <si>
    <t>K00242</t>
  </si>
  <si>
    <t>K00253</t>
  </si>
  <si>
    <t>K00254</t>
  </si>
  <si>
    <t>K00265</t>
  </si>
  <si>
    <t>K00279</t>
  </si>
  <si>
    <t>K00280</t>
  </si>
  <si>
    <t>K00300</t>
  </si>
  <si>
    <t>K00304</t>
  </si>
  <si>
    <t>K00313</t>
  </si>
  <si>
    <t>K00325</t>
  </si>
  <si>
    <t>K00334</t>
  </si>
  <si>
    <t>K00335</t>
  </si>
  <si>
    <t>K00344</t>
  </si>
  <si>
    <t>K00351</t>
  </si>
  <si>
    <t>K00356</t>
  </si>
  <si>
    <t>K00358</t>
  </si>
  <si>
    <t>K00359</t>
  </si>
  <si>
    <t>K00361</t>
  </si>
  <si>
    <t>K00362</t>
  </si>
  <si>
    <t>K00365</t>
  </si>
  <si>
    <t>K00374</t>
  </si>
  <si>
    <t>K00375</t>
  </si>
  <si>
    <t>K00378</t>
  </si>
  <si>
    <t>K00379</t>
  </si>
  <si>
    <t>K00382</t>
  </si>
  <si>
    <t>K00385</t>
  </si>
  <si>
    <t>K00390</t>
  </si>
  <si>
    <t>K00402</t>
  </si>
  <si>
    <t>K00403</t>
  </si>
  <si>
    <t>K00404</t>
  </si>
  <si>
    <t>K00408</t>
  </si>
  <si>
    <t>K00411</t>
  </si>
  <si>
    <t>K00412</t>
  </si>
  <si>
    <t>K00413</t>
  </si>
  <si>
    <t>K00414</t>
  </si>
  <si>
    <t>K00415</t>
  </si>
  <si>
    <t>K00418</t>
  </si>
  <si>
    <t>K00422</t>
  </si>
  <si>
    <t>K00424</t>
  </si>
  <si>
    <t>K00434</t>
  </si>
  <si>
    <t>K00435</t>
  </si>
  <si>
    <t>K00436</t>
  </si>
  <si>
    <t>K00440</t>
  </si>
  <si>
    <t>K00441</t>
  </si>
  <si>
    <t>K00442</t>
  </si>
  <si>
    <t>K00447</t>
  </si>
  <si>
    <t>K00448</t>
  </si>
  <si>
    <t>K00457</t>
  </si>
  <si>
    <t>K00463</t>
  </si>
  <si>
    <t>K00468</t>
  </si>
  <si>
    <t>K00469</t>
  </si>
  <si>
    <t>K00470</t>
  </si>
  <si>
    <t>K00472</t>
  </si>
  <si>
    <t>K00474</t>
  </si>
  <si>
    <t>K00479</t>
  </si>
  <si>
    <t>K00481</t>
  </si>
  <si>
    <t>K00485</t>
  </si>
  <si>
    <t>K00486</t>
  </si>
  <si>
    <t>K00490</t>
  </si>
  <si>
    <t>K00491</t>
  </si>
  <si>
    <t>K00493</t>
  </si>
  <si>
    <t>K00494</t>
  </si>
  <si>
    <t>K00497</t>
  </si>
  <si>
    <t>K00499</t>
  </si>
  <si>
    <t>K00500</t>
  </si>
  <si>
    <t>K00503</t>
  </si>
  <si>
    <t>K00504</t>
  </si>
  <si>
    <t>K00507</t>
  </si>
  <si>
    <t>K00510</t>
  </si>
  <si>
    <t>K00511</t>
  </si>
  <si>
    <t>K00517</t>
  </si>
  <si>
    <t>K00522</t>
  </si>
  <si>
    <t>K00528</t>
  </si>
  <si>
    <t>K00533</t>
  </si>
  <si>
    <t>K00537</t>
  </si>
  <si>
    <t>K00539</t>
  </si>
  <si>
    <t>K00540</t>
  </si>
  <si>
    <t>K00543</t>
  </si>
  <si>
    <t>K00544</t>
  </si>
  <si>
    <t>K00546</t>
  </si>
  <si>
    <t>K00554</t>
  </si>
  <si>
    <t>K00555</t>
  </si>
  <si>
    <t>K00556</t>
  </si>
  <si>
    <t>K00557</t>
  </si>
  <si>
    <t>K00559</t>
  </si>
  <si>
    <t>K00560</t>
  </si>
  <si>
    <t>K00566</t>
  </si>
  <si>
    <t>K00567</t>
  </si>
  <si>
    <t>K00575</t>
  </si>
  <si>
    <t>K00577</t>
  </si>
  <si>
    <t>K00585</t>
  </si>
  <si>
    <t>K00586</t>
  </si>
  <si>
    <t>K00589</t>
  </si>
  <si>
    <t>K00591</t>
  </si>
  <si>
    <t>K00593</t>
  </si>
  <si>
    <t>K00595</t>
  </si>
  <si>
    <t>K00608</t>
  </si>
  <si>
    <t>K00609</t>
  </si>
  <si>
    <t>K00610</t>
  </si>
  <si>
    <t>K00611</t>
  </si>
  <si>
    <t>K00612</t>
  </si>
  <si>
    <t>K00615</t>
  </si>
  <si>
    <t>K00618</t>
  </si>
  <si>
    <t>K00620</t>
  </si>
  <si>
    <t>K00621</t>
  </si>
  <si>
    <t>K00626</t>
  </si>
  <si>
    <t>K00628</t>
  </si>
  <si>
    <t>K00633</t>
  </si>
  <si>
    <t>K00638</t>
  </si>
  <si>
    <t>K00640</t>
  </si>
  <si>
    <t>K00644</t>
  </si>
  <si>
    <t>K00646</t>
  </si>
  <si>
    <t>K00647</t>
  </si>
  <si>
    <t>K00653</t>
  </si>
  <si>
    <t>K00657</t>
  </si>
  <si>
    <t>K00660</t>
  </si>
  <si>
    <t>K00661</t>
  </si>
  <si>
    <t>K00663</t>
  </si>
  <si>
    <t>K00664</t>
  </si>
  <si>
    <t>K00665</t>
  </si>
  <si>
    <t>K00666</t>
  </si>
  <si>
    <t>K00674</t>
  </si>
  <si>
    <t>K00677</t>
  </si>
  <si>
    <t>K00679</t>
  </si>
  <si>
    <t>K00686</t>
  </si>
  <si>
    <t>K00696</t>
  </si>
  <si>
    <t>K00698</t>
  </si>
  <si>
    <t>K00700</t>
  </si>
  <si>
    <t>K00701</t>
  </si>
  <si>
    <t>K00707</t>
  </si>
  <si>
    <t>K00709</t>
  </si>
  <si>
    <t>K00714</t>
  </si>
  <si>
    <t>K00715</t>
  </si>
  <si>
    <t>K00716</t>
  </si>
  <si>
    <t>K00718</t>
  </si>
  <si>
    <t>K00723</t>
  </si>
  <si>
    <t>K00724</t>
  </si>
  <si>
    <t>K00725</t>
  </si>
  <si>
    <t>K00726</t>
  </si>
  <si>
    <t>K00727</t>
  </si>
  <si>
    <t>K00728</t>
  </si>
  <si>
    <t>K00735</t>
  </si>
  <si>
    <t>K00736</t>
  </si>
  <si>
    <t>K00737</t>
  </si>
  <si>
    <t>K00738</t>
  </si>
  <si>
    <t>K00739</t>
  </si>
  <si>
    <t>K00745</t>
  </si>
  <si>
    <t>K00746</t>
  </si>
  <si>
    <t>K00747</t>
  </si>
  <si>
    <t>K00749</t>
  </si>
  <si>
    <t>K00750</t>
  </si>
  <si>
    <t>K00753</t>
  </si>
  <si>
    <t>K00755</t>
  </si>
  <si>
    <t>K00756</t>
  </si>
  <si>
    <t>K00758</t>
  </si>
  <si>
    <t>K00767</t>
  </si>
  <si>
    <t>K00768</t>
  </si>
  <si>
    <t>K00769</t>
  </si>
  <si>
    <t>K00772</t>
  </si>
  <si>
    <t>K00774</t>
  </si>
  <si>
    <t>K00775</t>
  </si>
  <si>
    <t>K00776</t>
  </si>
  <si>
    <t>K00780</t>
  </si>
  <si>
    <t>K00781</t>
  </si>
  <si>
    <t>K00782</t>
  </si>
  <si>
    <t>K00784</t>
  </si>
  <si>
    <t>K00789</t>
  </si>
  <si>
    <t>K00794</t>
  </si>
  <si>
    <t>K00795</t>
  </si>
  <si>
    <t>K00799</t>
  </si>
  <si>
    <t>K00800</t>
  </si>
  <si>
    <t>K00804</t>
  </si>
  <si>
    <t>K00805</t>
  </si>
  <si>
    <t>K00806</t>
  </si>
  <si>
    <t>K00807</t>
  </si>
  <si>
    <t>K00811</t>
  </si>
  <si>
    <t>K00814</t>
  </si>
  <si>
    <t>K00819</t>
  </si>
  <si>
    <t>K00820</t>
  </si>
  <si>
    <t>K00822</t>
  </si>
  <si>
    <t>K00827</t>
  </si>
  <si>
    <t>K00834</t>
  </si>
  <si>
    <t>K00835</t>
  </si>
  <si>
    <t>K00837</t>
  </si>
  <si>
    <t>K00838</t>
  </si>
  <si>
    <t>K00839</t>
  </si>
  <si>
    <t>K00843</t>
  </si>
  <si>
    <t>K00844</t>
  </si>
  <si>
    <t>K00845</t>
  </si>
  <si>
    <t>K00847</t>
  </si>
  <si>
    <t>K00849</t>
  </si>
  <si>
    <t>K00851</t>
  </si>
  <si>
    <t>K00852</t>
  </si>
  <si>
    <t>K00859</t>
  </si>
  <si>
    <t>K00860</t>
  </si>
  <si>
    <t>K00862</t>
  </si>
  <si>
    <t>K00868</t>
  </si>
  <si>
    <t>K00869</t>
  </si>
  <si>
    <t>K00871</t>
  </si>
  <si>
    <t>K00874</t>
  </si>
  <si>
    <t>K00880</t>
  </si>
  <si>
    <t>K00884</t>
  </si>
  <si>
    <t>K00885</t>
  </si>
  <si>
    <t>K00896</t>
  </si>
  <si>
    <t>K00898</t>
  </si>
  <si>
    <t>K00904</t>
  </si>
  <si>
    <t>K00905</t>
  </si>
  <si>
    <t>K00906</t>
  </si>
  <si>
    <t>K00907</t>
  </si>
  <si>
    <t>K00909</t>
  </si>
  <si>
    <t>K00910</t>
  </si>
  <si>
    <t>K00911</t>
  </si>
  <si>
    <t>K00912</t>
  </si>
  <si>
    <t>K00915</t>
  </si>
  <si>
    <t>K00917</t>
  </si>
  <si>
    <t>K00918</t>
  </si>
  <si>
    <t>K00922</t>
  </si>
  <si>
    <t>K00923</t>
  </si>
  <si>
    <t>K00924</t>
  </si>
  <si>
    <t>K00925</t>
  </si>
  <si>
    <t>K00926</t>
  </si>
  <si>
    <t>K00928</t>
  </si>
  <si>
    <t>K00929</t>
  </si>
  <si>
    <t>K00933</t>
  </si>
  <si>
    <t>K00935</t>
  </si>
  <si>
    <t>K00942</t>
  </si>
  <si>
    <t>K00946</t>
  </si>
  <si>
    <t>K00953</t>
  </si>
  <si>
    <t>K00954</t>
  </si>
  <si>
    <t>K00956</t>
  </si>
  <si>
    <t>K00957</t>
  </si>
  <si>
    <t>K00958</t>
  </si>
  <si>
    <t>K00959</t>
  </si>
  <si>
    <t>K00960</t>
  </si>
  <si>
    <t>K00968</t>
  </si>
  <si>
    <t>K00969</t>
  </si>
  <si>
    <t>K00973</t>
  </si>
  <si>
    <t>K00975</t>
  </si>
  <si>
    <t>K00981</t>
  </si>
  <si>
    <t>K00983</t>
  </si>
  <si>
    <t>K00984</t>
  </si>
  <si>
    <t>K00987</t>
  </si>
  <si>
    <t>K00988</t>
  </si>
  <si>
    <t>K00989</t>
  </si>
  <si>
    <t>K00990</t>
  </si>
  <si>
    <t>K00992</t>
  </si>
  <si>
    <t>K00994</t>
  </si>
  <si>
    <t>K00995</t>
  </si>
  <si>
    <t>K01002</t>
  </si>
  <si>
    <t>K01003</t>
  </si>
  <si>
    <t>K01004</t>
  </si>
  <si>
    <t>K01006</t>
  </si>
  <si>
    <t>K01009</t>
  </si>
  <si>
    <t>K01010</t>
  </si>
  <si>
    <t>K01012</t>
  </si>
  <si>
    <t>K01022</t>
  </si>
  <si>
    <t>K01023</t>
  </si>
  <si>
    <t>K01024</t>
  </si>
  <si>
    <t>K01025</t>
  </si>
  <si>
    <t>K01026</t>
  </si>
  <si>
    <t>K01027</t>
  </si>
  <si>
    <t>K01028</t>
  </si>
  <si>
    <t>K01031</t>
  </si>
  <si>
    <t>K01033</t>
  </si>
  <si>
    <t>K01034</t>
  </si>
  <si>
    <t>K01036</t>
  </si>
  <si>
    <t>K01040</t>
  </si>
  <si>
    <t>K01045</t>
  </si>
  <si>
    <t>K01046</t>
  </si>
  <si>
    <t>K01047</t>
  </si>
  <si>
    <t>K01052</t>
  </si>
  <si>
    <t>K01058</t>
  </si>
  <si>
    <t>K01059</t>
  </si>
  <si>
    <t>K01061</t>
  </si>
  <si>
    <t>K01062</t>
  </si>
  <si>
    <t>K01063</t>
  </si>
  <si>
    <t>K01067</t>
  </si>
  <si>
    <t>K01071</t>
  </si>
  <si>
    <t>K01072</t>
  </si>
  <si>
    <t>K01073</t>
  </si>
  <si>
    <t>K01077</t>
  </si>
  <si>
    <t>K01078</t>
  </si>
  <si>
    <t>K01079</t>
  </si>
  <si>
    <t>K01082</t>
  </si>
  <si>
    <t>K01085</t>
  </si>
  <si>
    <t>K01090</t>
  </si>
  <si>
    <t>K01091</t>
  </si>
  <si>
    <t>K01093</t>
  </si>
  <si>
    <t>K01096</t>
  </si>
  <si>
    <t>K01106</t>
  </si>
  <si>
    <t>K01107</t>
  </si>
  <si>
    <t>K01108</t>
  </si>
  <si>
    <t>K01109</t>
  </si>
  <si>
    <t>K01111</t>
  </si>
  <si>
    <t>K01113</t>
  </si>
  <si>
    <t>K01114</t>
  </si>
  <si>
    <t>K01119</t>
  </si>
  <si>
    <t>K01124</t>
  </si>
  <si>
    <t>K01125</t>
  </si>
  <si>
    <t>K01128</t>
  </si>
  <si>
    <t>K01130</t>
  </si>
  <si>
    <t>K01132</t>
  </si>
  <si>
    <t>K01133</t>
  </si>
  <si>
    <t>K01135</t>
  </si>
  <si>
    <t>K01139</t>
  </si>
  <si>
    <t>K01142</t>
  </si>
  <si>
    <t>K01146</t>
  </si>
  <si>
    <t>K01147</t>
  </si>
  <si>
    <t>K01149</t>
  </si>
  <si>
    <t>K01151</t>
  </si>
  <si>
    <t>K01153</t>
  </si>
  <si>
    <t>K01155</t>
  </si>
  <si>
    <t>K01156</t>
  </si>
  <si>
    <t>K01158</t>
  </si>
  <si>
    <t>K01159</t>
  </si>
  <si>
    <t>K01163</t>
  </si>
  <si>
    <t>K01164</t>
  </si>
  <si>
    <t>K01168</t>
  </si>
  <si>
    <t>K01170</t>
  </si>
  <si>
    <t>K01171</t>
  </si>
  <si>
    <t>K01172</t>
  </si>
  <si>
    <t>K01173</t>
  </si>
  <si>
    <t>K01174</t>
  </si>
  <si>
    <t>K01180</t>
  </si>
  <si>
    <t>K01182</t>
  </si>
  <si>
    <t>K01186</t>
  </si>
  <si>
    <t>K01191</t>
  </si>
  <si>
    <t>K01193</t>
  </si>
  <si>
    <t>K01198</t>
  </si>
  <si>
    <t>K01203</t>
  </si>
  <si>
    <t>K01204</t>
  </si>
  <si>
    <t>K01205</t>
  </si>
  <si>
    <t>K01208</t>
  </si>
  <si>
    <t>K01209</t>
  </si>
  <si>
    <t>K01211</t>
  </si>
  <si>
    <t>K01212</t>
  </si>
  <si>
    <t>K01213</t>
  </si>
  <si>
    <t>K01214</t>
  </si>
  <si>
    <t>K01216</t>
  </si>
  <si>
    <t>K01218</t>
  </si>
  <si>
    <t>K01219</t>
  </si>
  <si>
    <t>K01223</t>
  </si>
  <si>
    <t>K01224</t>
  </si>
  <si>
    <t>K01226</t>
  </si>
  <si>
    <t>K01229</t>
  </si>
  <si>
    <t>K01230</t>
  </si>
  <si>
    <t>K01231</t>
  </si>
  <si>
    <t>K01232</t>
  </si>
  <si>
    <t>K01233</t>
  </si>
  <si>
    <t>K01234</t>
  </si>
  <si>
    <t>K01235</t>
  </si>
  <si>
    <t>K01237</t>
  </si>
  <si>
    <t>K01239</t>
  </si>
  <si>
    <t>K01242</t>
  </si>
  <si>
    <t>K01244</t>
  </si>
  <si>
    <t>K01245</t>
  </si>
  <si>
    <t>K01246</t>
  </si>
  <si>
    <t>K01247</t>
  </si>
  <si>
    <t>K01258</t>
  </si>
  <si>
    <t>K01273</t>
  </si>
  <si>
    <t>K01289</t>
  </si>
  <si>
    <t>K01298</t>
  </si>
  <si>
    <t>K01303</t>
  </si>
  <si>
    <t>K01307</t>
  </si>
  <si>
    <t>K01309</t>
  </si>
  <si>
    <t>K01345</t>
  </si>
  <si>
    <t>K01356</t>
  </si>
  <si>
    <t>K01363</t>
  </si>
  <si>
    <t>K01365</t>
  </si>
  <si>
    <t>K01368</t>
  </si>
  <si>
    <t>K01377</t>
  </si>
  <si>
    <t>K01383</t>
  </si>
  <si>
    <t>K01398</t>
  </si>
  <si>
    <t>K01400</t>
  </si>
  <si>
    <t>K01404</t>
  </si>
  <si>
    <t>K01408</t>
  </si>
  <si>
    <t>K01420</t>
  </si>
  <si>
    <t>K01435</t>
  </si>
  <si>
    <t>K01447</t>
  </si>
  <si>
    <t>K01497</t>
  </si>
  <si>
    <t>K01525</t>
  </si>
  <si>
    <t>K01545</t>
  </si>
  <si>
    <t>K01572</t>
  </si>
  <si>
    <t>K01574</t>
  </si>
  <si>
    <t>Quantity Exercised</t>
  </si>
  <si>
    <t>Cost of Options</t>
  </si>
  <si>
    <t>Sold</t>
  </si>
  <si>
    <t>Issued(Sold+Held)</t>
  </si>
  <si>
    <t>Due</t>
  </si>
  <si>
    <t>Excess Paid</t>
  </si>
  <si>
    <t>0000010072</t>
  </si>
  <si>
    <t>50K already transferred to common stock</t>
  </si>
  <si>
    <t>Preparer:</t>
  </si>
  <si>
    <t>Reviewer:</t>
  </si>
  <si>
    <t>BOOK ENTRY ISSUANCE</t>
  </si>
  <si>
    <t>3050</t>
  </si>
  <si>
    <t>3052</t>
  </si>
  <si>
    <t>3053</t>
  </si>
  <si>
    <t>2026.01.07 NQ $7.31</t>
  </si>
  <si>
    <t>100016</t>
  </si>
  <si>
    <t>Li</t>
  </si>
  <si>
    <t>Shuangying (Samantha)</t>
  </si>
  <si>
    <t>3051</t>
  </si>
  <si>
    <t>100017</t>
  </si>
  <si>
    <t>Zheng</t>
  </si>
  <si>
    <t>Yang</t>
  </si>
  <si>
    <t>3054</t>
  </si>
  <si>
    <t>2023 Omnibus Plan Pool</t>
  </si>
  <si>
    <t>Records: 1</t>
  </si>
  <si>
    <t>Omnibus Inc. Pl</t>
  </si>
  <si>
    <t>2026-03-20</t>
  </si>
  <si>
    <t>孙怀锋</t>
  </si>
  <si>
    <t>35660472</t>
  </si>
  <si>
    <t>12942000109</t>
  </si>
  <si>
    <t>KDN0198</t>
  </si>
  <si>
    <t>7.57000</t>
  </si>
  <si>
    <t>2026-03-10</t>
  </si>
  <si>
    <t>20260220 Version</t>
  </si>
  <si>
    <t>Mr. Ye's shares transferred</t>
  </si>
  <si>
    <t>Shares in red means transferred.</t>
  </si>
  <si>
    <t>Total Shareholder Records:  45</t>
  </si>
  <si>
    <t>Epstein, David</t>
  </si>
  <si>
    <t>Nussbaum, Rod</t>
  </si>
  <si>
    <t>Zhang, Ping</t>
  </si>
  <si>
    <t>Dan Weng</t>
  </si>
  <si>
    <t>Usman, Nassim (resigned 6/30/2024)</t>
  </si>
  <si>
    <t>Total Directors</t>
  </si>
  <si>
    <t>Total Officers &amp; Directors</t>
  </si>
  <si>
    <t>Capitalization Table (Summary View)</t>
  </si>
  <si>
    <t>Description</t>
  </si>
  <si>
    <t># of Common Shares Equivalent</t>
  </si>
  <si>
    <t>% of fully diluted</t>
  </si>
  <si>
    <t>Common Shares OS</t>
  </si>
  <si>
    <t>CORRECTED 9/25 TO REMOVE DUPLICATION OF BCI SHARES</t>
  </si>
  <si>
    <t>BCI Shares Held by Futu</t>
  </si>
  <si>
    <t>This is deducted from EQ OS shares in D24</t>
  </si>
  <si>
    <t>2025 BC Subplan shares transferred to Futu</t>
  </si>
  <si>
    <t>Included 50,000 of Mr. Ye vested 03.2025 options; This will added by the monthly transfer to Futu and subtracted by the monthly exercise by BC employees.</t>
  </si>
  <si>
    <t>Warrants for Convertible Preferred Stock</t>
  </si>
  <si>
    <t>8K filed 10/30/2023</t>
  </si>
  <si>
    <t>See Tab "Option Plans Summary"; substracted the 2025 BC Subplan shares transferred to Futu options that was transferred to Futu in 12/25.</t>
  </si>
  <si>
    <t>Options Available</t>
  </si>
  <si>
    <t>See Tab "Option Plans Summary"</t>
  </si>
  <si>
    <t>Total Fully Diluted Shares Outstanding</t>
  </si>
  <si>
    <t>Shares OS Reconciliation</t>
  </si>
  <si>
    <t>Last month</t>
  </si>
  <si>
    <t>New shares</t>
  </si>
  <si>
    <t>EOM  EQ Balance OS</t>
  </si>
  <si>
    <t>Equinity Outstanding as of:</t>
  </si>
  <si>
    <t>see Exercises tab &amp; Control Book</t>
  </si>
  <si>
    <t>GNI USA INC</t>
  </si>
  <si>
    <t>0000010006</t>
  </si>
  <si>
    <t>CORPORATION</t>
  </si>
  <si>
    <t>CALIFORNIA</t>
  </si>
  <si>
    <t>UNITED STATES</t>
  </si>
  <si>
    <t>NO</t>
  </si>
  <si>
    <t>NO SPECIAL CODE</t>
  </si>
  <si>
    <t>12730 HIGH BLUFF DRIVE SUITE 250 SAN DIEGO CA 92130</t>
  </si>
  <si>
    <t>*****9761</t>
  </si>
  <si>
    <t>R-CHEN@GNIPHARMA.COM</t>
  </si>
  <si>
    <t>CEDE &amp; CO (FAST ACCOUNT)</t>
  </si>
  <si>
    <t>0000010001</t>
  </si>
  <si>
    <t>NOMINEE</t>
  </si>
  <si>
    <t>NEW JERSEY</t>
  </si>
  <si>
    <t>DEPOSITORY</t>
  </si>
  <si>
    <t>570 WASHINGTON BLVD JERSEY CITY NJ 07310-1617</t>
  </si>
  <si>
    <t>*****5119</t>
  </si>
  <si>
    <t>G STEVEN BURRILL</t>
  </si>
  <si>
    <t>0000010021</t>
  </si>
  <si>
    <t>INDIVIDUAL</t>
  </si>
  <si>
    <t>WISCONSIN</t>
  </si>
  <si>
    <t>3938 BRENNER LN EAGLE RIVER WI 54521-9418</t>
  </si>
  <si>
    <t>*****5058</t>
  </si>
  <si>
    <t>ERIK WIBERG</t>
  </si>
  <si>
    <t>0000010045</t>
  </si>
  <si>
    <t>7300 BEAUMONT COURT PLEASANTON, CA 94566-3469</t>
  </si>
  <si>
    <t>*****1415</t>
  </si>
  <si>
    <t>IMMERSION CORPORATION</t>
  </si>
  <si>
    <t>0000010067</t>
  </si>
  <si>
    <t>S-CORPORATION</t>
  </si>
  <si>
    <t>FLORIDA</t>
  </si>
  <si>
    <t>2999 NE 191 ST SUITE 610 AVENTURA, FL 33180-4930</t>
  </si>
  <si>
    <t>*****0138</t>
  </si>
  <si>
    <t>NATHAN S SHARPE</t>
  </si>
  <si>
    <t>0000010068</t>
  </si>
  <si>
    <t>FINLAND</t>
  </si>
  <si>
    <t>KIVISAARENTIE 5B 37 HELSINKI FI-18 00960 FINLAND</t>
  </si>
  <si>
    <t>*****9999</t>
  </si>
  <si>
    <t>Yes</t>
  </si>
  <si>
    <t>EQUINITI AS EXCHANGE AGENT FOR 20290 CATALYST BIOSCIENCES INC (OLD OLD)</t>
  </si>
  <si>
    <t>0000010009</t>
  </si>
  <si>
    <t>55 CHALLENGER ROAD RIDGEFIELD PARK NJ 07660</t>
  </si>
  <si>
    <t>CHRISTOPHER D THANOS</t>
  </si>
  <si>
    <t>0000010061</t>
  </si>
  <si>
    <t>38 MEADOW HILL DR BELVEDERE TIBURON, CA 94920-1637</t>
  </si>
  <si>
    <t>*****4773</t>
  </si>
  <si>
    <t>JDS1 LLC</t>
  </si>
  <si>
    <t>0000010065</t>
  </si>
  <si>
    <t>2200 FLETCHER AVE SUITE 501 FORT LEE, NJ 07024-5016</t>
  </si>
  <si>
    <t>*****2848</t>
  </si>
  <si>
    <t>MAURI K HODGES</t>
  </si>
  <si>
    <t>0000010012</t>
  </si>
  <si>
    <t>NORTH CAROLINA</t>
  </si>
  <si>
    <t>P O BOX 275 STOKESDALE, NC 27357-0275</t>
  </si>
  <si>
    <t>*****9986</t>
  </si>
  <si>
    <t>DAVID O'REILLY</t>
  </si>
  <si>
    <t>0000010040</t>
  </si>
  <si>
    <t>2508 WAVERLEY ST PALO ALTO, CA 94301-4246</t>
  </si>
  <si>
    <t>*****5087</t>
  </si>
  <si>
    <t>BURRILL &amp; COMPANY LLC</t>
  </si>
  <si>
    <t>0000010020</t>
  </si>
  <si>
    <t>207 JONATHAN STREET APT #G EAGLE RIVER, WI 54521-9540</t>
  </si>
  <si>
    <t>*****5135</t>
  </si>
  <si>
    <t>JAMES W COULSTON</t>
  </si>
  <si>
    <t>0000010011</t>
  </si>
  <si>
    <t>409 SUSANNA DR KERNERSVILLE NC 27284</t>
  </si>
  <si>
    <t>*****4515</t>
  </si>
  <si>
    <t>VICTOR HEBERT</t>
  </si>
  <si>
    <t>0000010019</t>
  </si>
  <si>
    <t>1876 GRAND VIEW DRIVE OAKLAND, CA 94618-2337</t>
  </si>
  <si>
    <t>*****4479</t>
  </si>
  <si>
    <t>EQUINITI AS EXCHANGE AGENT FOR 14689 TARGACEPT INC</t>
  </si>
  <si>
    <t>0000010004</t>
  </si>
  <si>
    <t>GATX VENTURES INC</t>
  </si>
  <si>
    <t>0000010060</t>
  </si>
  <si>
    <t>ILLINOIS</t>
  </si>
  <si>
    <t>233 SOUTH WACKER DR 50TH FL CHICAGO, IL 60606-7147</t>
  </si>
  <si>
    <t>*****1451</t>
  </si>
  <si>
    <t>KRISTIN KEFER</t>
  </si>
  <si>
    <t>0000010017</t>
  </si>
  <si>
    <t>IDAHO</t>
  </si>
  <si>
    <t>P O BOX 600 KETCHUM, ID 83340-0600</t>
  </si>
  <si>
    <t>*****6188</t>
  </si>
  <si>
    <t>CARL BROWN</t>
  </si>
  <si>
    <t>0000010025</t>
  </si>
  <si>
    <t>DIRECT DEPOSIT</t>
  </si>
  <si>
    <t>406 MAPLE WAY WOODSIDE, CA 94062-4139</t>
  </si>
  <si>
    <t>*****3804</t>
  </si>
  <si>
    <t>FREDERICK FRANK</t>
  </si>
  <si>
    <t>0000010034</t>
  </si>
  <si>
    <t>NEW YORK</t>
  </si>
  <si>
    <t>109 EAST 91ST STREET NEW YORK, NY 10128-1601</t>
  </si>
  <si>
    <t>*****6541</t>
  </si>
  <si>
    <t>KATHY TACHIAS</t>
  </si>
  <si>
    <t>0000010043</t>
  </si>
  <si>
    <t>558 48TH AVENUE SAN FRANCISCO, CA 94121-2427</t>
  </si>
  <si>
    <t>*****6472</t>
  </si>
  <si>
    <t>JULIA BROWN</t>
  </si>
  <si>
    <t>0000010013</t>
  </si>
  <si>
    <t>11480 FORESTVIEW LANE SAN DIEGO, CA 92131-2318</t>
  </si>
  <si>
    <t>*****0836</t>
  </si>
  <si>
    <t>KEN BUSSE</t>
  </si>
  <si>
    <t>0000010028</t>
  </si>
  <si>
    <t>48 PIPER LANE FAIRFAX, CA 94930-1022</t>
  </si>
  <si>
    <t>*****9485</t>
  </si>
  <si>
    <t>ERROL DE SOUZA</t>
  </si>
  <si>
    <t>0000010032</t>
  </si>
  <si>
    <t>MASSACHUSETTS</t>
  </si>
  <si>
    <t>6 BERKELEY ST CAMBRIDGE, MA 02138-3464</t>
  </si>
  <si>
    <t>*****5914</t>
  </si>
  <si>
    <t>EARL SANDS</t>
  </si>
  <si>
    <t>0000010048</t>
  </si>
  <si>
    <t>SOUTH CAROLINA</t>
  </si>
  <si>
    <t>9828 HAVEN LOOP JOHNS ISLAND SC 29455-7174</t>
  </si>
  <si>
    <t>*****4067</t>
  </si>
  <si>
    <t>SCOTT KLARQUIST</t>
  </si>
  <si>
    <t>0000010064</t>
  </si>
  <si>
    <t>GEORGIA</t>
  </si>
  <si>
    <t>3817 IDLEWILD PL SUWANEE GA 30024-4618</t>
  </si>
  <si>
    <t>*****2160</t>
  </si>
  <si>
    <t>COLIN C DENZEL</t>
  </si>
  <si>
    <t>0000010066</t>
  </si>
  <si>
    <t>GERMANY</t>
  </si>
  <si>
    <t>KELHOFSTRASSE 5 SINGEN HOHENTWIEL DE-BW 78224 GERMANY</t>
  </si>
  <si>
    <t>JEONG OH</t>
  </si>
  <si>
    <t>0000010026</t>
  </si>
  <si>
    <t>5002 VIA VISTOSA THOUSAND OAKS, CA 91320-6978</t>
  </si>
  <si>
    <t>*****0646</t>
  </si>
  <si>
    <t>RAMESH BALIGA</t>
  </si>
  <si>
    <t>0000010041</t>
  </si>
  <si>
    <t>2237 HOPKINS AVE REDWOOD CITY, CA 94062-2161</t>
  </si>
  <si>
    <t>*****2288</t>
  </si>
  <si>
    <t>JOHN HAMER</t>
  </si>
  <si>
    <t>0000010052</t>
  </si>
  <si>
    <t>1020 PINE ST UNIT 302 SAN FRANCISCO, CA 94109-0016</t>
  </si>
  <si>
    <t>*****7158</t>
  </si>
  <si>
    <t>MELISSA J JOSEPH</t>
  </si>
  <si>
    <t>0000010024</t>
  </si>
  <si>
    <t>6 WETHERBURN WAY GREENSBORO, NC 27410-8386</t>
  </si>
  <si>
    <t>*****8376</t>
  </si>
  <si>
    <t>YOUNGCHOOL CHOE</t>
  </si>
  <si>
    <t>0000010027</t>
  </si>
  <si>
    <t>21 VIA CANON STREET MILLBRAE, CA 94030-2240</t>
  </si>
  <si>
    <t>*****0028</t>
  </si>
  <si>
    <t>KERRYN MCCLUSKIE</t>
  </si>
  <si>
    <t>0000010051</t>
  </si>
  <si>
    <t>12 DURAN COURT PACIFICA, CA 94044-4231</t>
  </si>
  <si>
    <t>*****4258</t>
  </si>
  <si>
    <t>NEEL PATEL</t>
  </si>
  <si>
    <t>0000010016</t>
  </si>
  <si>
    <t>3608 WOODLEY DRIVE SAN JOSE, CA 95148-2830</t>
  </si>
  <si>
    <t>*****8325</t>
  </si>
  <si>
    <t>SHAUN R COUGHLIN M D PH D</t>
  </si>
  <si>
    <t>0000010031</t>
  </si>
  <si>
    <t>1 LEIGHTON ST UNIT 2005 CAMBRIDGE, MA 02141-1873</t>
  </si>
  <si>
    <t>*****4006</t>
  </si>
  <si>
    <t>HON LE</t>
  </si>
  <si>
    <t>0000010035</t>
  </si>
  <si>
    <t>1423 LUJOSO COURT SAN JOSE, CA 95128-4516</t>
  </si>
  <si>
    <t>*****8218</t>
  </si>
  <si>
    <t>QINGCHUN ZHANG</t>
  </si>
  <si>
    <t>0000010036</t>
  </si>
  <si>
    <t>676 COVEWOOD ST OAK PARK, CA 91377-4777</t>
  </si>
  <si>
    <t>*****7715</t>
  </si>
  <si>
    <t>0000010049</t>
  </si>
  <si>
    <t>THOMAS (TAD) THOMAS PH D</t>
  </si>
  <si>
    <t>0000010058</t>
  </si>
  <si>
    <t>1 HAMPTON COURT LOS ALTOS, CA 94022-2742</t>
  </si>
  <si>
    <t>*****6895</t>
  </si>
  <si>
    <t>KIKI THANOS AND HARRY THANOS</t>
  </si>
  <si>
    <t>0000010063</t>
  </si>
  <si>
    <t>JOINT TENANTS WROS</t>
  </si>
  <si>
    <t>38 MEADOW HILL DR TIBURON, CA 94920-1637</t>
  </si>
  <si>
    <t>*****6137</t>
  </si>
  <si>
    <t>KENNETH A CLARK</t>
  </si>
  <si>
    <t>0000010029</t>
  </si>
  <si>
    <t>650 PAGE MILL ROAD PALO ALTO, CA 94304-1001</t>
  </si>
  <si>
    <t>*****0965</t>
  </si>
  <si>
    <t>KLAAS J VAN DER REIJDEN AND LISA VAN DER REIJDEN</t>
  </si>
  <si>
    <t>0000010053</t>
  </si>
  <si>
    <t>ALABAMA</t>
  </si>
  <si>
    <t>1609 COVINGTON RIDGE ROAD AUBURN, AL 36830-6647</t>
  </si>
  <si>
    <t>*****2398</t>
  </si>
  <si>
    <t>KATHRYN BOWSER</t>
  </si>
  <si>
    <t>0000010022</t>
  </si>
  <si>
    <t>913 HEARST AVE BERKELEY, CA 94710-2054</t>
  </si>
  <si>
    <t>*****5865</t>
  </si>
  <si>
    <t>RAFAEL OEY</t>
  </si>
  <si>
    <t>0000010047</t>
  </si>
  <si>
    <t>18 CRAGMONT CT. PACIFICA, CA 94044-1903</t>
  </si>
  <si>
    <t>*****5002</t>
  </si>
  <si>
    <t>KIKI THANOS &amp; CHRISTOPHER THANOS &amp; HEATHER THANOS</t>
  </si>
  <si>
    <t>0000010062</t>
  </si>
  <si>
    <t>JERRY P SANDOVAL &amp; DONNA R SANDOVAL JT/WROS</t>
  </si>
  <si>
    <t>0000010074</t>
  </si>
  <si>
    <t>NEBRASKA</t>
  </si>
  <si>
    <t>1020 TURNER BLVD OMAHA NE 68105-1929207</t>
  </si>
  <si>
    <t>*****8994</t>
  </si>
  <si>
    <t xml:space="preserve"> shares owned on SH list 3/31/26</t>
  </si>
  <si>
    <t>Total forfeitures/cancelled shares as of March 31, 2026</t>
  </si>
  <si>
    <t>Options cancelled/forfeited</t>
  </si>
  <si>
    <t>总计 as of March 31, 2026</t>
  </si>
  <si>
    <t>*difference is due to forfeitures from "2025 BC Subplan Transfer" tab/</t>
  </si>
  <si>
    <t>Report Date &amp; Time: 13-May-2026 16:52</t>
  </si>
  <si>
    <t>01-Apr-2026 to 30-Apr-2026</t>
  </si>
  <si>
    <t>Balance Prior to 24-Apr-2026: 96,994,001.000</t>
  </si>
  <si>
    <t>詹倩</t>
  </si>
  <si>
    <t>35900581</t>
  </si>
  <si>
    <t>12942000260</t>
  </si>
  <si>
    <t>KDN0243</t>
  </si>
  <si>
    <t>2026-04-14</t>
  </si>
  <si>
    <t>Gyre Therapeutics, Inc. - Executive Awards OS Only (report run on 13-May-2026)</t>
  </si>
  <si>
    <t>Gyre Therapeutics, Inc. - !Option Plans Summary (Post-Gyre Merger &amp; Reverse Split 10/31/2023) (report run on 13-May-2026 for reporting period 30-Apr-2026)</t>
  </si>
  <si>
    <t>Gyre Therapeutics, Inc. - Personnel Summary (Options OS Detail) OS Grant Only (report run on 13-May-2026)</t>
  </si>
  <si>
    <t>Report Date &amp; Time: 13-May-2026 16:54</t>
  </si>
  <si>
    <t>Total Share Position: 97,028,322.000</t>
  </si>
  <si>
    <t>All Balances as of COB 12-May-2026</t>
  </si>
  <si>
    <t>No new SC13's filed as of  04/30/2026</t>
  </si>
  <si>
    <t>Total Options Outstanding</t>
  </si>
  <si>
    <t>Available for issuance</t>
  </si>
  <si>
    <t>Total Shares O/S + available</t>
  </si>
  <si>
    <t>Agr. &amp; Pl. of Merger</t>
  </si>
  <si>
    <t>高媛</t>
  </si>
  <si>
    <t>34856867</t>
  </si>
  <si>
    <t>12942000000</t>
  </si>
  <si>
    <t>2026-05-29</t>
  </si>
  <si>
    <t>张磊</t>
  </si>
  <si>
    <t>26183941</t>
  </si>
  <si>
    <t>12942000022</t>
  </si>
  <si>
    <t>2026-05-28</t>
  </si>
  <si>
    <t>2026-05-27</t>
  </si>
  <si>
    <t>2026-05-26</t>
  </si>
  <si>
    <t>2026-05-22</t>
  </si>
  <si>
    <t>2026-05-21</t>
  </si>
  <si>
    <t>2026-05-20</t>
  </si>
  <si>
    <t>2026-05-19</t>
  </si>
  <si>
    <t>2026-05-18</t>
  </si>
  <si>
    <t>2026-05-15</t>
  </si>
  <si>
    <t>2026-05-14</t>
  </si>
  <si>
    <t>DIR # CA 84 Lin Han</t>
  </si>
  <si>
    <t>05.31.26</t>
  </si>
  <si>
    <t xml:space="preserve">Luo, Ying </t>
  </si>
  <si>
    <t>CEO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</si>
</sst>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_(* \(#,##0\);_(* &quot;-&quot;_);_(@_)"/>
    <numFmt numFmtId="44" formatCode="_(&quot;$&quot;* #,##0.00_);_(&quot;$&quot;* \(#,##0.00\);_(&quot;$&quot;* &quot;-&quot;??_);_(@_)"/>
    <numFmt numFmtId="43" formatCode="_(* #,##0.00_);_(* \(#,##0.00\);_(* &quot;-&quot;??_);_(@_)"/>
    <numFmt numFmtId="164" formatCode="_-* #,##0.00_-;\-* #,##0.00_-;_-* &quot;-&quot;??_-;_-@_-"/>
    <numFmt numFmtId="165" formatCode="_(&quot;$&quot;* #,##0_);_(&quot;$&quot;* \(#,##0\);_(&quot;$&quot;* &quot;-&quot;??_);_(@_)"/>
    <numFmt numFmtId="166" formatCode="_(* #,##0_);_(* \(#,##0\);_(* &quot;-&quot;??_);_(@_)"/>
    <numFmt numFmtId="167" formatCode="0.000%"/>
    <numFmt numFmtId="168" formatCode="mm/dd/yyyy"/>
    <numFmt numFmtId="169" formatCode="dd\-mmm\-yyyy"/>
    <numFmt numFmtId="170" formatCode="#,###,###,###,###,###,###,###,###,###,###,###,###,###,###,###,###,###,###,###,###,###,###,###,###,###,###,###,###,###,###,###,###,##0"/>
    <numFmt numFmtId="171" formatCode="&quot;$&quot;#,###,###,###,###,###,###,###,###,###,###,###,###,###,###,###,###,###,###,###,###,###,###,###,###,###,###,###,###,###,###,###,###,##0.00####"/>
    <numFmt numFmtId="172" formatCode="[$-409]mmmm\ d\,\ yyyy;@"/>
    <numFmt numFmtId="173" formatCode="#,##0.000;[Red]\(#,##0.000\)"/>
    <numFmt numFmtId="174" formatCode="0.0%"/>
    <numFmt numFmtId="175" formatCode="_(* #,##0.000_);_(* \(#,##0.000\);_(* &quot;-&quot;???_);_(@_)"/>
    <numFmt numFmtId="176" formatCode="#,##0;[Red]\(#,##0\)"/>
    <numFmt numFmtId="177" formatCode="_-* #,##0.000_-;\-* #,##0.000_-;_-* &quot;-&quot;???_-;_-@_-"/>
    <numFmt numFmtId="178" formatCode="_(* #,##0.0000_);_(* \(#,##0.0000\);_(* &quot;-&quot;??_);_(@_)"/>
    <numFmt numFmtId="179" formatCode="\&lt;0.00\1;[Red]\&lt;\(0.00\1\);0.000"/>
    <numFmt numFmtId="180" formatCode="#,##0.00;[Red]\(#,##0.00\)"/>
    <numFmt numFmtId="181" formatCode="\&lt;0.0\1;[Red]\&lt;\(0.0\1\);0.00"/>
    <numFmt numFmtId="182" formatCode="_ * #,##0_ ;_ * \-#,##0_ ;_ * &quot;-&quot;??_ ;_ @_ "/>
  </numFmts>
  <fonts count="155">
    <font>
      <sz val="10"/>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0"/>
      <color rgb="FFFF0000"/>
      <name val="Aptos Narrow"/>
      <family val="2"/>
      <scheme val="minor"/>
    </font>
    <font>
      <u/>
      <sz val="10"/>
      <color theme="10"/>
      <name val="Aptos Narrow"/>
      <family val="2"/>
      <scheme val="minor"/>
    </font>
    <font>
      <sz val="10"/>
      <name val="Arial"/>
      <family val="2"/>
    </font>
    <font>
      <sz val="11"/>
      <name val="Aptos Narrow"/>
      <family val="2"/>
      <scheme val="minor"/>
    </font>
    <font>
      <b/>
      <sz val="14"/>
      <color rgb="FFFFFFFF"/>
      <name val="Aptos Narrow"/>
      <family val="2"/>
      <scheme val="minor"/>
    </font>
    <font>
      <b/>
      <sz val="12"/>
      <color rgb="FFFFFFFF"/>
      <name val="Aptos Narrow"/>
      <family val="2"/>
      <scheme val="minor"/>
    </font>
    <font>
      <sz val="10"/>
      <color theme="1"/>
      <name val="Arial"/>
      <family val="2"/>
    </font>
    <font>
      <b/>
      <sz val="11"/>
      <color rgb="FFFF0000"/>
      <name val="Arial"/>
      <family val="2"/>
    </font>
    <font>
      <sz val="11"/>
      <color theme="1"/>
      <name val="Aptos Narrow"/>
      <family val="2"/>
      <scheme val="minor"/>
    </font>
    <font>
      <b/>
      <sz val="10"/>
      <color rgb="FFFFFFFF"/>
      <name val="Aptos Narrow"/>
      <family val="2"/>
      <scheme val="minor"/>
    </font>
    <font>
      <b/>
      <u/>
      <sz val="11"/>
      <color rgb="FF0000FF"/>
      <name val="Aptos Narrow"/>
      <family val="2"/>
      <scheme val="minor"/>
    </font>
    <font>
      <u/>
      <sz val="8"/>
      <name val="Calibri"/>
      <family val="2"/>
    </font>
    <font>
      <sz val="9"/>
      <name val="Aptos Narrow"/>
      <family val="2"/>
      <scheme val="minor"/>
    </font>
    <font>
      <b/>
      <sz val="9"/>
      <color rgb="FF000000"/>
      <name val="Aptos Narrow"/>
      <family val="2"/>
      <scheme val="minor"/>
    </font>
    <font>
      <b/>
      <sz val="9"/>
      <name val="Aptos Narrow"/>
      <family val="2"/>
      <scheme val="minor"/>
    </font>
    <font>
      <sz val="8"/>
      <name val="Aptos Narrow"/>
      <family val="2"/>
      <scheme val="minor"/>
    </font>
    <font>
      <b/>
      <sz val="8"/>
      <name val="Aptos Narrow"/>
      <family val="2"/>
      <scheme val="minor"/>
    </font>
    <font>
      <b/>
      <sz val="11"/>
      <name val="Aptos Narrow"/>
      <family val="2"/>
      <scheme val="minor"/>
    </font>
    <font>
      <u/>
      <sz val="10"/>
      <color theme="10"/>
      <name val="Arial"/>
      <family val="2"/>
    </font>
    <font>
      <sz val="10"/>
      <name val="Aptos Narrow"/>
      <family val="2"/>
      <scheme val="minor"/>
    </font>
    <font>
      <b/>
      <sz val="11"/>
      <color theme="1"/>
      <name val="Aptos Narrow"/>
      <family val="2"/>
      <scheme val="minor"/>
    </font>
    <font>
      <b/>
      <u/>
      <sz val="11"/>
      <name val="Aptos Narrow"/>
      <family val="2"/>
      <scheme val="minor"/>
    </font>
    <font>
      <u/>
      <sz val="8"/>
      <color theme="1"/>
      <name val="Aptos Narrow"/>
      <family val="2"/>
      <scheme val="minor"/>
    </font>
    <font>
      <b/>
      <sz val="10"/>
      <name val="Aptos Narrow"/>
      <family val="2"/>
      <scheme val="minor"/>
    </font>
    <font>
      <sz val="8"/>
      <name val="Calibri"/>
      <family val="2"/>
    </font>
    <font>
      <sz val="8"/>
      <color theme="10"/>
      <name val="Arial"/>
      <family val="2"/>
    </font>
    <font>
      <u/>
      <sz val="8"/>
      <color theme="10"/>
      <name val="Arial"/>
      <family val="2"/>
    </font>
    <font>
      <sz val="11"/>
      <color rgb="FF0000FF"/>
      <name val="Aptos Narrow"/>
      <family val="2"/>
      <scheme val="minor"/>
    </font>
    <font>
      <b/>
      <sz val="11"/>
      <color rgb="FF0000FF"/>
      <name val="Aptos Narrow"/>
      <family val="2"/>
      <scheme val="minor"/>
    </font>
    <font>
      <i/>
      <sz val="11"/>
      <color rgb="FFFF0000"/>
      <name val="Aptos Narrow"/>
      <family val="2"/>
      <scheme val="minor"/>
    </font>
    <font>
      <sz val="14"/>
      <name val="Calibri"/>
      <family val="2"/>
    </font>
    <font>
      <b/>
      <u/>
      <sz val="10"/>
      <color theme="10"/>
      <name val="Arial"/>
      <family val="2"/>
    </font>
    <font>
      <sz val="8"/>
      <color rgb="FFFFFFFF"/>
      <name val="Arial"/>
      <family val="2"/>
    </font>
    <font>
      <b/>
      <sz val="10"/>
      <name val="Arial"/>
      <family val="2"/>
    </font>
    <font>
      <b/>
      <sz val="12"/>
      <color theme="1"/>
      <name val="Aptos Narrow"/>
      <family val="2"/>
      <scheme val="minor"/>
    </font>
    <font>
      <b/>
      <sz val="12"/>
      <name val="Arial"/>
      <family val="2"/>
    </font>
    <font>
      <b/>
      <sz val="12"/>
      <color rgb="FF0000FF"/>
      <name val="Arial"/>
      <family val="2"/>
    </font>
    <font>
      <b/>
      <sz val="8"/>
      <name val="Arial"/>
      <family val="2"/>
    </font>
    <font>
      <b/>
      <sz val="11"/>
      <name val="Arial"/>
      <family val="2"/>
    </font>
    <font>
      <b/>
      <sz val="11"/>
      <color rgb="FF4D4F53"/>
      <name val="Arial"/>
      <family val="2"/>
    </font>
    <font>
      <i/>
      <sz val="10"/>
      <name val="Arial"/>
      <family val="2"/>
    </font>
    <font>
      <sz val="11"/>
      <color theme="1"/>
      <name val="Calibri"/>
      <family val="2"/>
    </font>
    <font>
      <b/>
      <sz val="10"/>
      <color rgb="FFFF0000"/>
      <name val="Calibri"/>
      <family val="2"/>
    </font>
    <font>
      <b/>
      <sz val="12"/>
      <color theme="1"/>
      <name val="Calibri"/>
      <family val="2"/>
    </font>
    <font>
      <i/>
      <sz val="11"/>
      <color theme="1"/>
      <name val="Calibri"/>
      <family val="2"/>
    </font>
    <font>
      <b/>
      <sz val="14"/>
      <color theme="1"/>
      <name val="Calibri"/>
      <family val="2"/>
    </font>
    <font>
      <b/>
      <sz val="11"/>
      <color theme="1"/>
      <name val="Calibri"/>
      <family val="2"/>
    </font>
    <font>
      <sz val="11"/>
      <name val="Calibri"/>
      <family val="2"/>
    </font>
    <font>
      <sz val="8"/>
      <color theme="1"/>
      <name val="Calibri"/>
      <family val="2"/>
    </font>
    <font>
      <sz val="11"/>
      <color rgb="FFFF0000"/>
      <name val="Aptos Narrow"/>
      <family val="2"/>
      <scheme val="minor"/>
    </font>
    <font>
      <sz val="11"/>
      <color rgb="FFFF0000"/>
      <name val="Calibri"/>
      <family val="2"/>
    </font>
    <font>
      <b/>
      <i/>
      <sz val="11"/>
      <color rgb="FFFF0000"/>
      <name val="Calibri"/>
      <family val="2"/>
    </font>
    <font>
      <b/>
      <i/>
      <sz val="10"/>
      <color rgb="FFFF0000"/>
      <name val="Aptos Narrow"/>
      <family val="2"/>
      <scheme val="minor"/>
    </font>
    <font>
      <u/>
      <sz val="8"/>
      <color theme="1"/>
      <name val="Calibri"/>
      <family val="2"/>
    </font>
    <font>
      <b/>
      <u/>
      <sz val="8"/>
      <color rgb="FF0000FF"/>
      <name val="Calibri"/>
      <family val="2"/>
    </font>
    <font>
      <u/>
      <sz val="9"/>
      <color theme="1"/>
      <name val="Calibri"/>
      <family val="2"/>
    </font>
    <font>
      <u/>
      <sz val="8"/>
      <color rgb="FF0000FF"/>
      <name val="Calibri"/>
      <family val="2"/>
    </font>
    <font>
      <sz val="10"/>
      <color theme="1"/>
      <name val="Calibri"/>
      <family val="2"/>
    </font>
    <font>
      <sz val="10"/>
      <color rgb="FF0000FF"/>
      <name val="Calibri"/>
      <family val="2"/>
    </font>
    <font>
      <sz val="11"/>
      <color rgb="FF0000FF"/>
      <name val="Calibri"/>
      <family val="2"/>
    </font>
    <font>
      <sz val="9"/>
      <color theme="1"/>
      <name val="Calibri"/>
      <family val="2"/>
    </font>
    <font>
      <b/>
      <sz val="22"/>
      <color rgb="FFFF0000"/>
      <name val="ADLaM Display"/>
    </font>
    <font>
      <sz val="12"/>
      <color theme="1"/>
      <name val="Open Sans"/>
      <family val="2"/>
    </font>
    <font>
      <b/>
      <sz val="11"/>
      <color rgb="FF44546A"/>
      <name val="Open Sans"/>
      <family val="2"/>
    </font>
    <font>
      <sz val="12"/>
      <name val="Open Sans"/>
      <family val="2"/>
    </font>
    <font>
      <b/>
      <sz val="12"/>
      <color theme="1"/>
      <name val="Open Sans"/>
      <family val="2"/>
    </font>
    <font>
      <b/>
      <sz val="13"/>
      <color rgb="FF44546A"/>
      <name val="Open Sans"/>
      <family val="2"/>
    </font>
    <font>
      <b/>
      <sz val="14"/>
      <color rgb="FF0000FF"/>
      <name val="Aptos Narrow"/>
      <family val="2"/>
      <scheme val="minor"/>
    </font>
    <font>
      <b/>
      <u/>
      <sz val="10"/>
      <color rgb="FFFF0000"/>
      <name val="Aptos Narrow"/>
      <family val="2"/>
      <scheme val="minor"/>
    </font>
    <font>
      <b/>
      <sz val="12"/>
      <color rgb="FF0000CC"/>
      <name val="Calibri"/>
      <family val="2"/>
    </font>
    <font>
      <b/>
      <sz val="12"/>
      <color rgb="FFFF0000"/>
      <name val="Aptos Narrow"/>
      <family val="2"/>
      <scheme val="minor"/>
    </font>
    <font>
      <b/>
      <sz val="10"/>
      <color rgb="FFFF0000"/>
      <name val="Aptos Narrow"/>
      <family val="2"/>
      <scheme val="minor"/>
    </font>
    <font>
      <sz val="12"/>
      <name val="Aptos Narrow"/>
      <family val="2"/>
      <scheme val="minor"/>
    </font>
    <font>
      <u/>
      <sz val="10"/>
      <name val="Aptos Narrow"/>
      <family val="2"/>
      <scheme val="minor"/>
    </font>
    <font>
      <u/>
      <sz val="12"/>
      <name val="Aptos Narrow"/>
      <family val="2"/>
      <scheme val="minor"/>
    </font>
    <font>
      <u/>
      <sz val="12"/>
      <color rgb="FF0000CC"/>
      <name val="Aptos Narrow"/>
      <family val="2"/>
      <scheme val="minor"/>
    </font>
    <font>
      <u/>
      <sz val="9"/>
      <name val="Aptos Narrow"/>
      <family val="2"/>
      <scheme val="minor"/>
    </font>
    <font>
      <i/>
      <u/>
      <sz val="10"/>
      <name val="Aptos Narrow"/>
      <family val="2"/>
      <scheme val="minor"/>
    </font>
    <font>
      <i/>
      <sz val="9"/>
      <name val="Aptos Narrow"/>
      <family val="2"/>
      <scheme val="minor"/>
    </font>
    <font>
      <b/>
      <i/>
      <sz val="10"/>
      <name val="Aptos Narrow"/>
      <family val="2"/>
      <scheme val="minor"/>
    </font>
    <font>
      <sz val="9"/>
      <color theme="1"/>
      <name val="Courier New"/>
      <family val="3"/>
    </font>
    <font>
      <sz val="10"/>
      <color rgb="FF0000CC"/>
      <name val="Aptos Narrow"/>
      <family val="2"/>
      <scheme val="minor"/>
    </font>
    <font>
      <sz val="10"/>
      <color rgb="FF0000FF"/>
      <name val="Aptos Narrow"/>
      <family val="2"/>
      <scheme val="minor"/>
    </font>
    <font>
      <sz val="9"/>
      <color rgb="FF0000FF"/>
      <name val="Open Sans"/>
      <family val="2"/>
    </font>
    <font>
      <u/>
      <sz val="9"/>
      <name val="Calibri"/>
      <family val="2"/>
    </font>
    <font>
      <b/>
      <sz val="18"/>
      <color rgb="FFFF0000"/>
      <name val="Calibri"/>
      <family val="2"/>
    </font>
    <font>
      <sz val="10"/>
      <color theme="0"/>
      <name val="Calibri"/>
      <family val="2"/>
    </font>
    <font>
      <sz val="11"/>
      <color theme="0"/>
      <name val="Calibri"/>
      <family val="2"/>
    </font>
    <font>
      <sz val="11"/>
      <color rgb="FF000000"/>
      <name val="Calibri"/>
      <family val="2"/>
    </font>
    <font>
      <b/>
      <sz val="11"/>
      <name val="Calibri"/>
      <family val="2"/>
    </font>
    <font>
      <b/>
      <sz val="10"/>
      <color theme="1"/>
      <name val="Calibri"/>
      <family val="2"/>
    </font>
    <font>
      <sz val="10"/>
      <color rgb="FFFFFFFF"/>
      <name val="Arial"/>
      <family val="2"/>
    </font>
    <font>
      <sz val="14"/>
      <color theme="1"/>
      <name val="Calibri"/>
      <family val="2"/>
    </font>
    <font>
      <b/>
      <sz val="16"/>
      <color theme="0"/>
      <name val="Calibri"/>
      <family val="2"/>
    </font>
    <font>
      <sz val="14"/>
      <color rgb="FF0000FF"/>
      <name val="Calibri"/>
      <family val="2"/>
    </font>
    <font>
      <sz val="10"/>
      <name val="Arial"/>
      <family val="2"/>
    </font>
    <font>
      <b/>
      <sz val="11"/>
      <color rgb="FF0000FF"/>
      <name val="Arial"/>
      <family val="2"/>
    </font>
    <font>
      <b/>
      <sz val="11"/>
      <color rgb="FF000000"/>
      <name val="Calibri"/>
      <family val="2"/>
    </font>
    <font>
      <b/>
      <sz val="12"/>
      <color theme="1"/>
      <name val="Yu Gothic"/>
      <family val="2"/>
    </font>
    <font>
      <sz val="11"/>
      <color theme="1"/>
      <name val="Yu Gothic"/>
      <family val="2"/>
    </font>
    <font>
      <i/>
      <sz val="9"/>
      <color theme="2" tint="-0.499984740745262"/>
      <name val="Aptos Narrow"/>
      <family val="2"/>
      <scheme val="minor"/>
    </font>
    <font>
      <i/>
      <sz val="8"/>
      <color theme="2" tint="-0.499984740745262"/>
      <name val="Aptos Narrow"/>
      <family val="2"/>
      <scheme val="minor"/>
    </font>
    <font>
      <sz val="12"/>
      <color theme="1"/>
      <name val="Aptos Narrow"/>
      <family val="2"/>
      <scheme val="minor"/>
    </font>
    <font>
      <sz val="10"/>
      <name val="Calibri"/>
      <family val="2"/>
    </font>
    <font>
      <sz val="11"/>
      <color theme="1"/>
      <name val="微软雅黑"/>
      <family val="2"/>
    </font>
    <font>
      <b/>
      <sz val="11"/>
      <color theme="1"/>
      <name val="微软雅黑"/>
      <family val="2"/>
    </font>
    <font>
      <b/>
      <u/>
      <sz val="10"/>
      <name val="Aptos Narrow"/>
      <family val="2"/>
      <scheme val="minor"/>
    </font>
    <font>
      <sz val="10"/>
      <color rgb="FF000000"/>
      <name val="Times New Roman"/>
      <family val="1"/>
    </font>
    <font>
      <i/>
      <sz val="11"/>
      <name val="Arial"/>
      <family val="2"/>
    </font>
    <font>
      <sz val="8"/>
      <color theme="1"/>
      <name val="Aptos Narrow"/>
      <family val="2"/>
      <scheme val="minor"/>
    </font>
    <font>
      <u/>
      <sz val="11"/>
      <color theme="1"/>
      <name val="Aptos Narrow"/>
      <family val="2"/>
      <scheme val="minor"/>
    </font>
    <font>
      <u/>
      <sz val="11"/>
      <color rgb="FF0000FF"/>
      <name val="Aptos Narrow"/>
      <family val="2"/>
      <scheme val="minor"/>
    </font>
    <font>
      <u/>
      <sz val="9"/>
      <color theme="1"/>
      <name val="Aptos Narrow"/>
      <family val="2"/>
      <scheme val="minor"/>
    </font>
    <font>
      <b/>
      <u/>
      <sz val="8"/>
      <color rgb="FF0000FF"/>
      <name val="Aptos Narrow"/>
      <family val="2"/>
      <scheme val="minor"/>
    </font>
    <font>
      <u/>
      <sz val="8"/>
      <color rgb="FF0000FF"/>
      <name val="Aptos Narrow"/>
      <family val="2"/>
      <scheme val="minor"/>
    </font>
    <font>
      <b/>
      <sz val="11"/>
      <color rgb="FFFF0000"/>
      <name val="Aptos Narrow"/>
      <family val="2"/>
      <scheme val="minor"/>
    </font>
    <font>
      <b/>
      <u/>
      <sz val="9"/>
      <color theme="1"/>
      <name val="Aptos Narrow"/>
      <family val="2"/>
      <scheme val="minor"/>
    </font>
    <font>
      <b/>
      <sz val="10"/>
      <color rgb="FF0000FF"/>
      <name val="Calibri"/>
      <family val="2"/>
    </font>
    <font>
      <u/>
      <sz val="10"/>
      <color theme="1"/>
      <name val="Calibri"/>
      <family val="2"/>
    </font>
    <font>
      <b/>
      <u/>
      <sz val="10"/>
      <color rgb="FF0000FF"/>
      <name val="Calibri"/>
      <family val="2"/>
    </font>
    <font>
      <sz val="10"/>
      <color theme="1"/>
      <name val="Aptos Narrow"/>
      <family val="2"/>
      <scheme val="minor"/>
    </font>
    <font>
      <sz val="10"/>
      <color theme="1"/>
      <name val="Open Sans"/>
      <family val="2"/>
    </font>
    <font>
      <b/>
      <sz val="10"/>
      <color rgb="FF0000FF"/>
      <name val="Aptos Narrow"/>
      <family val="2"/>
      <scheme val="minor"/>
    </font>
    <font>
      <sz val="12"/>
      <color theme="1"/>
      <name val="Arial"/>
      <family val="2"/>
    </font>
    <font>
      <b/>
      <sz val="11"/>
      <color theme="1"/>
      <name val="微软雅黑"/>
    </font>
    <font>
      <sz val="9"/>
      <color indexed="81"/>
      <name val="Tahoma"/>
      <family val="2"/>
    </font>
    <font>
      <b/>
      <sz val="9"/>
      <color indexed="81"/>
      <name val="Tahoma"/>
      <family val="2"/>
    </font>
    <font>
      <sz val="10"/>
      <name val="Arial"/>
      <family val="2"/>
    </font>
    <font>
      <sz val="11"/>
      <color theme="1"/>
      <name val="Open Sans"/>
      <family val="2"/>
    </font>
    <font>
      <sz val="11"/>
      <color theme="1"/>
      <name val="Arial"/>
      <family val="2"/>
    </font>
    <font>
      <sz val="9"/>
      <color theme="1"/>
      <name val="Aptos Narrow"/>
      <family val="2"/>
      <scheme val="minor"/>
    </font>
    <font>
      <sz val="9"/>
      <color rgb="FF0000FF"/>
      <name val="Aptos Narrow"/>
      <family val="2"/>
      <scheme val="minor"/>
    </font>
    <font>
      <b/>
      <sz val="8"/>
      <color rgb="FF0000FF"/>
      <name val="Aptos Narrow"/>
      <family val="2"/>
      <scheme val="minor"/>
    </font>
    <font>
      <sz val="8"/>
      <color rgb="FF0000FF"/>
      <name val="Aptos Narrow"/>
      <family val="2"/>
      <scheme val="minor"/>
    </font>
    <font>
      <u/>
      <sz val="10"/>
      <color theme="1"/>
      <name val="Aptos Narrow"/>
      <family val="2"/>
      <scheme val="minor"/>
    </font>
    <font>
      <sz val="11"/>
      <color theme="2" tint="-9.9978637043366805E-2"/>
      <name val="Calibri"/>
      <family val="2"/>
    </font>
    <font>
      <b/>
      <sz val="10"/>
      <color rgb="FF000000"/>
      <name val="Aptos Narrow"/>
      <family val="2"/>
      <scheme val="minor"/>
    </font>
    <font>
      <b/>
      <sz val="9"/>
      <color rgb="FFFFFFFF"/>
      <name val="Aptos Narrow"/>
      <family val="2"/>
      <scheme val="minor"/>
    </font>
    <font>
      <sz val="9"/>
      <color rgb="FFFF0000"/>
      <name val="Aptos Narrow"/>
      <family val="2"/>
      <scheme val="minor"/>
    </font>
    <font>
      <b/>
      <u/>
      <sz val="9"/>
      <color rgb="FFFFFFFF"/>
      <name val="Aptos Narrow"/>
      <family val="2"/>
      <scheme val="minor"/>
    </font>
    <font>
      <i/>
      <sz val="8"/>
      <color rgb="FFFF0000"/>
      <name val="Aptos Narrow"/>
      <family val="2"/>
      <scheme val="minor"/>
    </font>
    <font>
      <i/>
      <u/>
      <sz val="8"/>
      <color theme="10"/>
      <name val="Arial"/>
      <family val="2"/>
    </font>
    <font>
      <b/>
      <sz val="11"/>
      <color rgb="FF000000"/>
      <name val="Aptos Narrow"/>
      <family val="2"/>
      <scheme val="minor"/>
    </font>
    <font>
      <b/>
      <sz val="11"/>
      <color rgb="FFFF0000"/>
      <name val="Wingdings 2"/>
      <family val="1"/>
      <charset val="2"/>
    </font>
    <font>
      <i/>
      <sz val="8"/>
      <name val="Aptos Narrow"/>
      <family val="2"/>
      <scheme val="minor"/>
    </font>
    <font>
      <b/>
      <u/>
      <sz val="8"/>
      <color theme="1"/>
      <name val="Aptos Narrow"/>
      <family val="2"/>
      <scheme val="minor"/>
    </font>
    <font>
      <b/>
      <sz val="10"/>
      <name val="Arial"/>
      <family val="2"/>
    </font>
    <font>
      <b/>
      <sz val="10"/>
      <color rgb="FF0000FF"/>
      <name val="Arial"/>
      <family val="2"/>
    </font>
    <font>
      <sz val="9"/>
      <color theme="2" tint="-0.499984740745262"/>
      <name val="Aptos Narrow"/>
      <family val="2"/>
      <scheme val="minor"/>
    </font>
    <font>
      <sz val="8"/>
      <color theme="2" tint="-0.499984740745262"/>
      <name val="Aptos Narrow"/>
      <family val="2"/>
      <scheme val="minor"/>
    </font>
  </fonts>
  <fills count="23">
    <fill>
      <patternFill patternType="none"/>
    </fill>
    <fill>
      <patternFill patternType="gray125"/>
    </fill>
    <fill>
      <patternFill patternType="solid">
        <fgColor rgb="FF003163"/>
        <bgColor indexed="64"/>
      </patternFill>
    </fill>
    <fill>
      <patternFill patternType="solid">
        <fgColor theme="2" tint="-0.749992370372631"/>
        <bgColor indexed="64"/>
      </patternFill>
    </fill>
    <fill>
      <patternFill patternType="solid">
        <fgColor rgb="FFFFFF00"/>
        <bgColor indexed="64"/>
      </patternFill>
    </fill>
    <fill>
      <patternFill patternType="solid">
        <fgColor rgb="FFD9D9D9"/>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rgb="FFC0C0C0"/>
        <bgColor indexed="64"/>
      </patternFill>
    </fill>
    <fill>
      <patternFill patternType="solid">
        <fgColor rgb="FF4D4D4D"/>
        <bgColor indexed="64"/>
      </patternFill>
    </fill>
    <fill>
      <patternFill patternType="solid">
        <fgColor rgb="FFFFFFFF"/>
        <bgColor indexed="64"/>
      </patternFill>
    </fill>
    <fill>
      <patternFill patternType="solid">
        <fgColor rgb="FFE6E6E6"/>
        <bgColor indexed="64"/>
      </patternFill>
    </fill>
    <fill>
      <patternFill patternType="solid">
        <fgColor indexed="9"/>
        <bgColor indexed="64"/>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rgb="FF8EA9DB"/>
        <bgColor indexed="64"/>
      </patternFill>
    </fill>
    <fill>
      <patternFill patternType="solid">
        <fgColor rgb="FF92D050"/>
        <bgColor indexed="64"/>
      </patternFill>
    </fill>
    <fill>
      <patternFill patternType="solid">
        <fgColor rgb="FFFFC000"/>
        <bgColor indexed="64"/>
      </patternFill>
    </fill>
    <fill>
      <patternFill patternType="solid">
        <fgColor theme="4" tint="0.79998168889431442"/>
        <bgColor theme="4" tint="0.79998168889431442"/>
      </patternFill>
    </fill>
  </fills>
  <borders count="62">
    <border>
      <left/>
      <right/>
      <top/>
      <bottom/>
      <diagonal/>
    </border>
    <border>
      <left/>
      <right/>
      <top style="thin">
        <color theme="4"/>
      </top>
      <bottom style="double">
        <color theme="4"/>
      </bottom>
      <diagonal/>
    </border>
    <border>
      <left/>
      <right/>
      <top/>
      <bottom style="medium">
        <color theme="0"/>
      </bottom>
      <diagonal/>
    </border>
    <border>
      <left/>
      <right/>
      <top/>
      <bottom style="thin">
        <color indexed="64"/>
      </bottom>
      <diagonal/>
    </border>
    <border>
      <left style="medium">
        <color rgb="FFFFFFFF"/>
      </left>
      <right/>
      <top/>
      <bottom style="medium">
        <color rgb="FFFFFFFF"/>
      </bottom>
      <diagonal/>
    </border>
    <border>
      <left/>
      <right style="medium">
        <color rgb="FFFFFFFF"/>
      </right>
      <top/>
      <bottom style="medium">
        <color rgb="FFFFFFFF"/>
      </bottom>
      <diagonal/>
    </border>
    <border>
      <left style="medium">
        <color rgb="FFFFFFFF"/>
      </left>
      <right style="medium">
        <color rgb="FFFFFFFF"/>
      </right>
      <top/>
      <bottom style="medium">
        <color rgb="FFFFFFFF"/>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medium">
        <color auto="1"/>
      </left>
      <right/>
      <top/>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right/>
      <top/>
      <bottom style="medium">
        <color rgb="FFC9CAC8"/>
      </bottom>
      <diagonal/>
    </border>
    <border>
      <left style="medium">
        <color rgb="FFE6E6E6"/>
      </left>
      <right/>
      <top style="medium">
        <color rgb="FFC9CAC8"/>
      </top>
      <bottom style="medium">
        <color rgb="FFC9CAC8"/>
      </bottom>
      <diagonal/>
    </border>
    <border>
      <left/>
      <right/>
      <top style="medium">
        <color rgb="FFC9CAC8"/>
      </top>
      <bottom style="medium">
        <color rgb="FFC9CAC8"/>
      </bottom>
      <diagonal/>
    </border>
    <border>
      <left style="hair">
        <color auto="1"/>
      </left>
      <right style="hair">
        <color auto="1"/>
      </right>
      <top style="hair">
        <color auto="1"/>
      </top>
      <bottom/>
      <diagonal/>
    </border>
    <border>
      <left style="hair">
        <color auto="1"/>
      </left>
      <right style="hair">
        <color auto="1"/>
      </right>
      <top style="thin">
        <color indexed="64"/>
      </top>
      <bottom style="thin">
        <color indexed="64"/>
      </bottom>
      <diagonal/>
    </border>
    <border>
      <left style="hair">
        <color auto="1"/>
      </left>
      <right style="hair">
        <color auto="1"/>
      </right>
      <top/>
      <bottom style="hair">
        <color auto="1"/>
      </bottom>
      <diagonal/>
    </border>
    <border>
      <left/>
      <right style="thin">
        <color indexed="64"/>
      </right>
      <top/>
      <bottom/>
      <diagonal/>
    </border>
    <border>
      <left style="hair">
        <color indexed="8"/>
      </left>
      <right style="hair">
        <color indexed="8"/>
      </right>
      <top style="hair">
        <color indexed="8"/>
      </top>
      <bottom style="hair">
        <color indexed="8"/>
      </bottom>
      <diagonal/>
    </border>
    <border>
      <left style="hair">
        <color auto="1"/>
      </left>
      <right style="hair">
        <color auto="1"/>
      </right>
      <top/>
      <bottom style="thin">
        <color indexed="64"/>
      </bottom>
      <diagonal/>
    </border>
    <border>
      <left style="thin">
        <color indexed="64"/>
      </left>
      <right/>
      <top/>
      <bottom/>
      <diagonal/>
    </border>
    <border>
      <left/>
      <right style="hair">
        <color auto="1"/>
      </right>
      <top/>
      <bottom/>
      <diagonal/>
    </border>
    <border>
      <left style="medium">
        <color indexed="64"/>
      </left>
      <right/>
      <top style="medium">
        <color indexed="64"/>
      </top>
      <bottom/>
      <diagonal/>
    </border>
    <border>
      <left/>
      <right/>
      <top style="medium">
        <color auto="1"/>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top/>
      <bottom style="hair">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rgb="FF941D40"/>
      </bottom>
      <diagonal/>
    </border>
    <border>
      <left style="medium">
        <color indexed="64"/>
      </left>
      <right/>
      <top style="medium">
        <color indexed="64"/>
      </top>
      <bottom style="thin">
        <color auto="1"/>
      </bottom>
      <diagonal/>
    </border>
    <border>
      <left/>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auto="1"/>
      </top>
      <bottom style="thin">
        <color auto="1"/>
      </bottom>
      <diagonal/>
    </border>
    <border>
      <left/>
      <right style="medium">
        <color indexed="64"/>
      </right>
      <top style="thin">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hair">
        <color auto="1"/>
      </left>
      <right/>
      <top style="thin">
        <color indexed="64"/>
      </top>
      <bottom/>
      <diagonal/>
    </border>
    <border>
      <left/>
      <right style="hair">
        <color auto="1"/>
      </right>
      <top style="thin">
        <color indexed="64"/>
      </top>
      <bottom/>
      <diagonal/>
    </border>
    <border>
      <left style="hair">
        <color auto="1"/>
      </left>
      <right/>
      <top/>
      <bottom style="thin">
        <color indexed="64"/>
      </bottom>
      <diagonal/>
    </border>
    <border>
      <left/>
      <right style="hair">
        <color auto="1"/>
      </right>
      <top/>
      <bottom style="thin">
        <color indexed="64"/>
      </bottom>
      <diagonal/>
    </border>
    <border>
      <left style="hair">
        <color auto="1"/>
      </left>
      <right/>
      <top/>
      <bottom/>
      <diagonal/>
    </border>
    <border>
      <left/>
      <right/>
      <top style="thin">
        <color theme="4" tint="0.39997558519241921"/>
      </top>
      <bottom/>
      <diagonal/>
    </border>
    <border>
      <left style="medium">
        <color rgb="FFFFFFFF"/>
      </left>
      <right style="medium">
        <color rgb="FFFFFFFF"/>
      </right>
      <top style="medium">
        <color rgb="FFFFFFFF"/>
      </top>
      <bottom/>
      <diagonal/>
    </border>
    <border>
      <left style="medium">
        <color rgb="FFFFFFFF"/>
      </left>
      <right style="medium">
        <color rgb="FFFFFFFF"/>
      </right>
      <top/>
      <bottom/>
      <diagonal/>
    </border>
    <border>
      <left style="medium">
        <color rgb="FFFFFFFF"/>
      </left>
      <right style="medium">
        <color rgb="FFFFFFFF"/>
      </right>
      <top style="medium">
        <color rgb="FFFFFFFF"/>
      </top>
      <bottom style="medium">
        <color rgb="FFFFFFFF"/>
      </bottom>
      <diagonal/>
    </border>
    <border>
      <left/>
      <right/>
      <top/>
      <bottom style="double">
        <color theme="4"/>
      </bottom>
      <diagonal/>
    </border>
    <border>
      <left/>
      <right/>
      <top style="thin">
        <color indexed="64"/>
      </top>
      <bottom style="double">
        <color indexed="64"/>
      </bottom>
      <diagonal/>
    </border>
  </borders>
  <cellStyleXfs count="24">
    <xf numFmtId="0" fontId="0" fillId="0" borderId="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3" fontId="23" fillId="0" borderId="0" applyNumberFormat="0" applyFill="0" applyBorder="0" applyAlignment="0" applyProtection="0"/>
    <xf numFmtId="0" fontId="7" fillId="0" borderId="0"/>
    <xf numFmtId="0" fontId="11" fillId="0" borderId="0"/>
    <xf numFmtId="0" fontId="25" fillId="0" borderId="1" applyNumberFormat="0" applyFill="0" applyAlignment="0" applyProtection="0"/>
    <xf numFmtId="0" fontId="13" fillId="0" borderId="0"/>
    <xf numFmtId="3" fontId="7" fillId="0" borderId="0"/>
    <xf numFmtId="0" fontId="38" fillId="0" borderId="0"/>
    <xf numFmtId="0" fontId="46" fillId="0" borderId="0"/>
    <xf numFmtId="43" fontId="46" fillId="0" borderId="0" applyFont="0" applyFill="0" applyBorder="0" applyAlignment="0" applyProtection="0"/>
    <xf numFmtId="44" fontId="46" fillId="0" borderId="0" applyFont="0" applyFill="0" applyBorder="0" applyAlignment="0" applyProtection="0"/>
    <xf numFmtId="9" fontId="46" fillId="0" borderId="0" applyFont="0" applyFill="0" applyBorder="0" applyAlignment="0" applyProtection="0"/>
    <xf numFmtId="0" fontId="46" fillId="0" borderId="0"/>
    <xf numFmtId="44" fontId="46" fillId="0" borderId="0" applyFont="0" applyFill="0" applyBorder="0" applyAlignment="0" applyProtection="0"/>
    <xf numFmtId="43" fontId="46" fillId="0" borderId="0" applyFont="0" applyFill="0" applyBorder="0" applyAlignment="0" applyProtection="0"/>
    <xf numFmtId="0" fontId="11" fillId="0" borderId="0"/>
    <xf numFmtId="0" fontId="38" fillId="0" borderId="0"/>
    <xf numFmtId="41" fontId="13" fillId="0" borderId="0" applyFont="0" applyFill="0" applyBorder="0" applyAlignment="0" applyProtection="0"/>
    <xf numFmtId="0" fontId="125" fillId="0" borderId="0"/>
    <xf numFmtId="0" fontId="151" fillId="0" borderId="0"/>
    <xf numFmtId="43" fontId="38" fillId="0" borderId="0" applyFont="0" applyFill="0" applyBorder="0" applyAlignment="0" applyProtection="0"/>
  </cellStyleXfs>
  <cellXfs count="861">
    <xf numFmtId="0" fontId="0" fillId="0" borderId="0" xfId="0"/>
    <xf numFmtId="0" fontId="8" fillId="0" borderId="0" xfId="5" applyFont="1" applyProtection="1">
      <protection locked="0"/>
    </xf>
    <xf numFmtId="0" fontId="10" fillId="2" borderId="0" xfId="5" applyFont="1" applyFill="1" applyAlignment="1" applyProtection="1">
      <alignment horizontal="center" wrapText="1" readingOrder="1"/>
      <protection locked="0"/>
    </xf>
    <xf numFmtId="0" fontId="8" fillId="0" borderId="0" xfId="5" applyFont="1" applyAlignment="1" applyProtection="1">
      <alignment horizontal="left" indent="2"/>
      <protection locked="0"/>
    </xf>
    <xf numFmtId="0" fontId="12" fillId="0" borderId="0" xfId="6" applyFont="1" applyProtection="1">
      <protection locked="0"/>
    </xf>
    <xf numFmtId="165" fontId="8" fillId="0" borderId="0" xfId="2" applyNumberFormat="1" applyFont="1" applyFill="1" applyProtection="1">
      <protection locked="0"/>
    </xf>
    <xf numFmtId="0" fontId="8" fillId="0" borderId="0" xfId="5" applyFont="1"/>
    <xf numFmtId="0" fontId="8" fillId="0" borderId="0" xfId="5" applyFont="1" applyAlignment="1" applyProtection="1">
      <alignment vertical="center"/>
      <protection locked="0"/>
    </xf>
    <xf numFmtId="0" fontId="10" fillId="2" borderId="2" xfId="5" applyFont="1" applyFill="1" applyBorder="1" applyAlignment="1" applyProtection="1">
      <alignment horizontal="center" vertical="center" wrapText="1" readingOrder="1"/>
      <protection locked="0"/>
    </xf>
    <xf numFmtId="0" fontId="8" fillId="0" borderId="0" xfId="5" applyFont="1" applyAlignment="1" applyProtection="1">
      <alignment horizontal="left" vertical="center"/>
      <protection locked="0"/>
    </xf>
    <xf numFmtId="0" fontId="8" fillId="0" borderId="0" xfId="5" applyFont="1" applyAlignment="1">
      <alignment vertical="center"/>
    </xf>
    <xf numFmtId="0" fontId="14" fillId="3" borderId="6" xfId="5" applyFont="1" applyFill="1" applyBorder="1" applyAlignment="1" applyProtection="1">
      <alignment horizontal="center" wrapText="1" readingOrder="1"/>
      <protection locked="0"/>
    </xf>
    <xf numFmtId="0" fontId="14" fillId="3" borderId="4" xfId="5" applyFont="1" applyFill="1" applyBorder="1" applyAlignment="1" applyProtection="1">
      <alignment horizontal="center" wrapText="1" readingOrder="1"/>
      <protection locked="0"/>
    </xf>
    <xf numFmtId="0" fontId="15" fillId="0" borderId="0" xfId="5" applyFont="1" applyAlignment="1" applyProtection="1">
      <alignment horizontal="left" indent="2"/>
      <protection locked="0"/>
    </xf>
    <xf numFmtId="0" fontId="15" fillId="0" borderId="0" xfId="5" applyFont="1" applyProtection="1">
      <protection locked="0"/>
    </xf>
    <xf numFmtId="0" fontId="16" fillId="0" borderId="7" xfId="5" applyFont="1" applyBorder="1" applyAlignment="1" applyProtection="1">
      <alignment horizontal="center" wrapText="1"/>
      <protection locked="0"/>
    </xf>
    <xf numFmtId="0" fontId="17" fillId="0" borderId="0" xfId="5" applyFont="1" applyProtection="1">
      <protection locked="0"/>
    </xf>
    <xf numFmtId="0" fontId="18" fillId="5" borderId="0" xfId="5" applyFont="1" applyFill="1" applyAlignment="1" applyProtection="1">
      <alignment horizontal="left" wrapText="1" readingOrder="1"/>
      <protection locked="0"/>
    </xf>
    <xf numFmtId="166" fontId="18" fillId="5" borderId="0" xfId="1" applyNumberFormat="1" applyFont="1" applyFill="1" applyAlignment="1" applyProtection="1">
      <alignment horizontal="left" wrapText="1" readingOrder="1"/>
      <protection locked="0"/>
    </xf>
    <xf numFmtId="166" fontId="19" fillId="5" borderId="0" xfId="1" applyNumberFormat="1" applyFont="1" applyFill="1" applyAlignment="1" applyProtection="1">
      <alignment wrapText="1"/>
      <protection locked="0"/>
    </xf>
    <xf numFmtId="0" fontId="19" fillId="5" borderId="0" xfId="5" applyFont="1" applyFill="1" applyAlignment="1" applyProtection="1">
      <alignment wrapText="1"/>
      <protection locked="0"/>
    </xf>
    <xf numFmtId="166" fontId="16" fillId="6" borderId="0" xfId="1" applyNumberFormat="1" applyFont="1" applyFill="1" applyAlignment="1" applyProtection="1">
      <alignment horizontal="center"/>
      <protection locked="0"/>
    </xf>
    <xf numFmtId="166" fontId="16" fillId="6" borderId="0" xfId="1" applyNumberFormat="1" applyFont="1" applyFill="1" applyAlignment="1" applyProtection="1">
      <protection locked="0"/>
    </xf>
    <xf numFmtId="166" fontId="16" fillId="0" borderId="0" xfId="1" applyNumberFormat="1" applyFont="1" applyFill="1" applyAlignment="1" applyProtection="1">
      <alignment horizontal="center"/>
      <protection locked="0"/>
    </xf>
    <xf numFmtId="0" fontId="17" fillId="0" borderId="0" xfId="5" applyFont="1"/>
    <xf numFmtId="0" fontId="17" fillId="0" borderId="0" xfId="5" applyFont="1" applyAlignment="1" applyProtection="1">
      <alignment horizontal="left" indent="1"/>
      <protection locked="0"/>
    </xf>
    <xf numFmtId="0" fontId="20" fillId="0" borderId="0" xfId="5" applyFont="1" applyProtection="1">
      <protection locked="0"/>
    </xf>
    <xf numFmtId="166" fontId="17" fillId="0" borderId="0" xfId="1" applyNumberFormat="1" applyFont="1" applyProtection="1">
      <protection locked="0"/>
    </xf>
    <xf numFmtId="167" fontId="17" fillId="0" borderId="0" xfId="3" applyNumberFormat="1" applyFont="1" applyProtection="1">
      <protection locked="0"/>
    </xf>
    <xf numFmtId="3" fontId="17" fillId="0" borderId="0" xfId="5" applyNumberFormat="1" applyFont="1" applyProtection="1">
      <protection locked="0"/>
    </xf>
    <xf numFmtId="10" fontId="17" fillId="0" borderId="0" xfId="3" applyNumberFormat="1" applyFont="1" applyAlignment="1" applyProtection="1">
      <alignment horizontal="right"/>
      <protection locked="0"/>
    </xf>
    <xf numFmtId="0" fontId="20" fillId="0" borderId="0" xfId="5" applyFont="1" applyAlignment="1" applyProtection="1">
      <alignment horizontal="left"/>
      <protection locked="0"/>
    </xf>
    <xf numFmtId="165" fontId="17" fillId="0" borderId="0" xfId="2" applyNumberFormat="1" applyFont="1" applyProtection="1">
      <protection locked="0"/>
    </xf>
    <xf numFmtId="0" fontId="17" fillId="0" borderId="0" xfId="5" applyFont="1" applyAlignment="1" applyProtection="1">
      <alignment horizontal="center" vertical="center"/>
      <protection locked="0"/>
    </xf>
    <xf numFmtId="0" fontId="17" fillId="0" borderId="0" xfId="5" applyFont="1" applyAlignment="1" applyProtection="1">
      <alignment horizontal="left" indent="2"/>
      <protection locked="0"/>
    </xf>
    <xf numFmtId="0" fontId="21" fillId="0" borderId="8" xfId="5" applyFont="1" applyBorder="1" applyProtection="1">
      <protection locked="0"/>
    </xf>
    <xf numFmtId="166" fontId="19" fillId="0" borderId="8" xfId="1" applyNumberFormat="1" applyFont="1" applyBorder="1" applyProtection="1">
      <protection locked="0"/>
    </xf>
    <xf numFmtId="167" fontId="17" fillId="0" borderId="8" xfId="3" applyNumberFormat="1" applyFont="1" applyBorder="1" applyProtection="1">
      <protection locked="0"/>
    </xf>
    <xf numFmtId="3" fontId="17" fillId="0" borderId="8" xfId="5" applyNumberFormat="1" applyFont="1" applyBorder="1" applyProtection="1">
      <protection locked="0"/>
    </xf>
    <xf numFmtId="10" fontId="17" fillId="0" borderId="8" xfId="3" applyNumberFormat="1" applyFont="1" applyBorder="1" applyAlignment="1" applyProtection="1">
      <alignment horizontal="right"/>
      <protection locked="0"/>
    </xf>
    <xf numFmtId="166" fontId="17" fillId="0" borderId="8" xfId="1" applyNumberFormat="1" applyFont="1" applyBorder="1" applyProtection="1">
      <protection locked="0"/>
    </xf>
    <xf numFmtId="165" fontId="19" fillId="0" borderId="8" xfId="2" applyNumberFormat="1" applyFont="1" applyBorder="1" applyProtection="1">
      <protection locked="0"/>
    </xf>
    <xf numFmtId="166" fontId="17" fillId="0" borderId="0" xfId="1" applyNumberFormat="1" applyFont="1"/>
    <xf numFmtId="0" fontId="17" fillId="0" borderId="0" xfId="5" applyFont="1" applyAlignment="1">
      <alignment horizontal="left" indent="2"/>
    </xf>
    <xf numFmtId="165" fontId="17" fillId="0" borderId="0" xfId="2" applyNumberFormat="1" applyFont="1"/>
    <xf numFmtId="0" fontId="16" fillId="0" borderId="0" xfId="8" applyFont="1"/>
    <xf numFmtId="168" fontId="16" fillId="0" borderId="0" xfId="8" applyNumberFormat="1" applyFont="1" applyAlignment="1">
      <alignment horizontal="center" wrapText="1"/>
    </xf>
    <xf numFmtId="166" fontId="16" fillId="0" borderId="0" xfId="1" applyNumberFormat="1" applyFont="1" applyAlignment="1">
      <alignment horizontal="center" wrapText="1"/>
    </xf>
    <xf numFmtId="0" fontId="16" fillId="0" borderId="0" xfId="8" applyFont="1" applyAlignment="1">
      <alignment horizontal="right"/>
    </xf>
    <xf numFmtId="166" fontId="16" fillId="0" borderId="0" xfId="1" applyNumberFormat="1" applyFont="1" applyAlignment="1">
      <alignment horizontal="right"/>
    </xf>
    <xf numFmtId="0" fontId="16" fillId="0" borderId="0" xfId="8" applyFont="1" applyAlignment="1">
      <alignment horizontal="left" indent="1"/>
    </xf>
    <xf numFmtId="0" fontId="25" fillId="0" borderId="0" xfId="8" applyFont="1"/>
    <xf numFmtId="0" fontId="28" fillId="0" borderId="0" xfId="8" applyFont="1"/>
    <xf numFmtId="168" fontId="22" fillId="0" borderId="0" xfId="1" applyNumberFormat="1" applyFont="1"/>
    <xf numFmtId="166" fontId="8" fillId="0" borderId="0" xfId="1" applyNumberFormat="1" applyFont="1"/>
    <xf numFmtId="0" fontId="23" fillId="0" borderId="0" xfId="4" applyNumberFormat="1"/>
    <xf numFmtId="3" fontId="23" fillId="0" borderId="0" xfId="4" applyAlignment="1">
      <alignment horizontal="left" indent="1"/>
    </xf>
    <xf numFmtId="0" fontId="8" fillId="0" borderId="0" xfId="8" applyFont="1"/>
    <xf numFmtId="0" fontId="22" fillId="0" borderId="0" xfId="8" applyFont="1"/>
    <xf numFmtId="168" fontId="8" fillId="0" borderId="0" xfId="1" applyNumberFormat="1" applyFont="1"/>
    <xf numFmtId="43" fontId="29" fillId="0" borderId="0" xfId="1" applyFont="1"/>
    <xf numFmtId="3" fontId="30" fillId="0" borderId="0" xfId="4" applyFont="1" applyAlignment="1">
      <alignment horizontal="left" indent="1"/>
    </xf>
    <xf numFmtId="166" fontId="8" fillId="0" borderId="0" xfId="1" applyNumberFormat="1" applyFont="1" applyAlignment="1">
      <alignment horizontal="left" indent="1"/>
    </xf>
    <xf numFmtId="0" fontId="13" fillId="0" borderId="0" xfId="8"/>
    <xf numFmtId="168" fontId="13" fillId="0" borderId="0" xfId="8" applyNumberFormat="1"/>
    <xf numFmtId="166" fontId="25" fillId="0" borderId="8" xfId="8" applyNumberFormat="1" applyFont="1" applyBorder="1"/>
    <xf numFmtId="168" fontId="8" fillId="0" borderId="0" xfId="8" applyNumberFormat="1" applyFont="1"/>
    <xf numFmtId="14" fontId="13" fillId="0" borderId="0" xfId="8" applyNumberFormat="1" applyAlignment="1">
      <alignment horizontal="left"/>
    </xf>
    <xf numFmtId="3" fontId="31" fillId="0" borderId="0" xfId="4" applyFont="1" applyAlignment="1">
      <alignment horizontal="left" indent="1"/>
    </xf>
    <xf numFmtId="0" fontId="27" fillId="0" borderId="0" xfId="8" applyFont="1" applyAlignment="1">
      <alignment wrapText="1"/>
    </xf>
    <xf numFmtId="0" fontId="16" fillId="0" borderId="0" xfId="8" applyFont="1" applyAlignment="1">
      <alignment horizontal="center" wrapText="1"/>
    </xf>
    <xf numFmtId="166" fontId="0" fillId="0" borderId="0" xfId="1" applyNumberFormat="1" applyFont="1" applyFill="1"/>
    <xf numFmtId="166" fontId="8" fillId="0" borderId="0" xfId="1" applyNumberFormat="1" applyFont="1" applyAlignment="1">
      <alignment horizontal="right"/>
    </xf>
    <xf numFmtId="0" fontId="8" fillId="0" borderId="0" xfId="8" applyFont="1" applyAlignment="1">
      <alignment horizontal="center"/>
    </xf>
    <xf numFmtId="0" fontId="8" fillId="0" borderId="0" xfId="8" applyFont="1" applyAlignment="1">
      <alignment horizontal="left" indent="1"/>
    </xf>
    <xf numFmtId="3" fontId="8" fillId="0" borderId="9" xfId="9" applyFont="1" applyBorder="1" applyAlignment="1">
      <alignment horizontal="left" indent="1"/>
    </xf>
    <xf numFmtId="166" fontId="0" fillId="0" borderId="0" xfId="1" applyNumberFormat="1" applyFont="1"/>
    <xf numFmtId="43" fontId="13" fillId="0" borderId="0" xfId="8" applyNumberFormat="1"/>
    <xf numFmtId="166" fontId="32" fillId="0" borderId="0" xfId="8" applyNumberFormat="1" applyFont="1"/>
    <xf numFmtId="14" fontId="13" fillId="0" borderId="0" xfId="8" applyNumberFormat="1"/>
    <xf numFmtId="166" fontId="8" fillId="0" borderId="0" xfId="1" applyNumberFormat="1" applyFont="1" applyBorder="1"/>
    <xf numFmtId="3" fontId="8" fillId="0" borderId="0" xfId="9" applyFont="1" applyAlignment="1">
      <alignment horizontal="left" indent="1"/>
    </xf>
    <xf numFmtId="3" fontId="23" fillId="0" borderId="0" xfId="4" applyBorder="1" applyAlignment="1">
      <alignment horizontal="left" indent="1"/>
    </xf>
    <xf numFmtId="3" fontId="23" fillId="0" borderId="9" xfId="4" applyBorder="1" applyAlignment="1">
      <alignment horizontal="left" indent="1"/>
    </xf>
    <xf numFmtId="0" fontId="33" fillId="0" borderId="0" xfId="8" applyFont="1" applyAlignment="1">
      <alignment horizontal="right"/>
    </xf>
    <xf numFmtId="0" fontId="32" fillId="0" borderId="0" xfId="8" applyFont="1"/>
    <xf numFmtId="166" fontId="8" fillId="0" borderId="8" xfId="8" applyNumberFormat="1" applyFont="1" applyBorder="1"/>
    <xf numFmtId="166" fontId="13" fillId="0" borderId="8" xfId="8" applyNumberFormat="1" applyBorder="1"/>
    <xf numFmtId="0" fontId="34" fillId="0" borderId="0" xfId="8" applyFont="1"/>
    <xf numFmtId="0" fontId="32" fillId="0" borderId="0" xfId="8" applyFont="1" applyAlignment="1">
      <alignment horizontal="right"/>
    </xf>
    <xf numFmtId="166" fontId="33" fillId="0" borderId="0" xfId="8" applyNumberFormat="1" applyFont="1"/>
    <xf numFmtId="166" fontId="8" fillId="0" borderId="0" xfId="1" applyNumberFormat="1" applyFont="1" applyFill="1" applyBorder="1"/>
    <xf numFmtId="0" fontId="27" fillId="0" borderId="0" xfId="8" applyFont="1" applyAlignment="1">
      <alignment horizontal="center" wrapText="1"/>
    </xf>
    <xf numFmtId="0" fontId="27" fillId="0" borderId="0" xfId="8" quotePrefix="1" applyFont="1" applyAlignment="1">
      <alignment horizontal="center" wrapText="1"/>
    </xf>
    <xf numFmtId="166" fontId="13" fillId="0" borderId="0" xfId="8" applyNumberFormat="1"/>
    <xf numFmtId="43" fontId="32" fillId="4" borderId="8" xfId="8" applyNumberFormat="1" applyFont="1" applyFill="1" applyBorder="1"/>
    <xf numFmtId="0" fontId="36" fillId="0" borderId="0" xfId="4" applyNumberFormat="1" applyFont="1" applyFill="1" applyAlignment="1">
      <alignment horizontal="left"/>
    </xf>
    <xf numFmtId="43" fontId="0" fillId="0" borderId="0" xfId="1" applyFont="1"/>
    <xf numFmtId="0" fontId="29" fillId="0" borderId="0" xfId="8" applyFont="1"/>
    <xf numFmtId="0" fontId="7" fillId="10" borderId="12" xfId="8" applyFont="1" applyFill="1" applyBorder="1" applyAlignment="1">
      <alignment horizontal="left" vertical="top"/>
    </xf>
    <xf numFmtId="170" fontId="7" fillId="10" borderId="13" xfId="8" applyNumberFormat="1" applyFont="1" applyFill="1" applyBorder="1" applyAlignment="1">
      <alignment horizontal="right" vertical="top" wrapText="1"/>
    </xf>
    <xf numFmtId="0" fontId="40" fillId="0" borderId="0" xfId="10" applyFont="1"/>
    <xf numFmtId="0" fontId="41" fillId="0" borderId="0" xfId="10" applyFont="1"/>
    <xf numFmtId="0" fontId="37" fillId="9" borderId="7" xfId="10" applyFont="1" applyFill="1" applyBorder="1" applyAlignment="1">
      <alignment horizontal="center" vertical="center" wrapText="1"/>
    </xf>
    <xf numFmtId="0" fontId="42" fillId="0" borderId="0" xfId="10" applyFont="1"/>
    <xf numFmtId="0" fontId="7" fillId="10" borderId="13" xfId="10" applyFont="1" applyFill="1" applyBorder="1" applyAlignment="1">
      <alignment horizontal="right" vertical="top" wrapText="1"/>
    </xf>
    <xf numFmtId="0" fontId="38" fillId="0" borderId="0" xfId="10"/>
    <xf numFmtId="0" fontId="43" fillId="10" borderId="12" xfId="10" applyFont="1" applyFill="1" applyBorder="1" applyAlignment="1">
      <alignment horizontal="left" vertical="top"/>
    </xf>
    <xf numFmtId="0" fontId="44" fillId="11" borderId="20" xfId="8" applyFont="1" applyFill="1" applyBorder="1" applyAlignment="1">
      <alignment horizontal="left" vertical="center" wrapText="1"/>
    </xf>
    <xf numFmtId="0" fontId="7" fillId="10" borderId="13" xfId="8" applyFont="1" applyFill="1" applyBorder="1" applyAlignment="1">
      <alignment horizontal="right" vertical="top" wrapText="1"/>
    </xf>
    <xf numFmtId="0" fontId="45" fillId="10" borderId="12" xfId="8" applyFont="1" applyFill="1" applyBorder="1" applyAlignment="1">
      <alignment horizontal="left" vertical="top" wrapText="1"/>
    </xf>
    <xf numFmtId="0" fontId="45" fillId="10" borderId="13" xfId="8" applyFont="1" applyFill="1" applyBorder="1" applyAlignment="1">
      <alignment horizontal="left" vertical="top" wrapText="1"/>
    </xf>
    <xf numFmtId="170" fontId="7" fillId="10" borderId="13" xfId="10" applyNumberFormat="1" applyFont="1" applyFill="1" applyBorder="1" applyAlignment="1">
      <alignment horizontal="right" vertical="top" wrapText="1"/>
    </xf>
    <xf numFmtId="170" fontId="7" fillId="10" borderId="21" xfId="10" applyNumberFormat="1" applyFont="1" applyFill="1" applyBorder="1" applyAlignment="1">
      <alignment horizontal="right" vertical="top" wrapText="1"/>
    </xf>
    <xf numFmtId="0" fontId="45" fillId="10" borderId="15" xfId="8" applyFont="1" applyFill="1" applyBorder="1" applyAlignment="1">
      <alignment horizontal="left" vertical="top" wrapText="1"/>
    </xf>
    <xf numFmtId="0" fontId="45" fillId="10" borderId="16" xfId="8" applyFont="1" applyFill="1" applyBorder="1" applyAlignment="1">
      <alignment horizontal="left" vertical="top" wrapText="1"/>
    </xf>
    <xf numFmtId="170" fontId="38" fillId="10" borderId="22" xfId="10" applyNumberFormat="1" applyFill="1" applyBorder="1" applyAlignment="1">
      <alignment horizontal="right" vertical="top" wrapText="1"/>
    </xf>
    <xf numFmtId="0" fontId="38" fillId="10" borderId="12" xfId="10" applyFill="1" applyBorder="1" applyAlignment="1">
      <alignment horizontal="left" vertical="top"/>
    </xf>
    <xf numFmtId="0" fontId="38" fillId="10" borderId="13" xfId="10" applyFill="1" applyBorder="1" applyAlignment="1">
      <alignment horizontal="right" vertical="top" wrapText="1"/>
    </xf>
    <xf numFmtId="170" fontId="38" fillId="10" borderId="23" xfId="10" applyNumberFormat="1" applyFill="1" applyBorder="1" applyAlignment="1">
      <alignment horizontal="right" vertical="top" wrapText="1"/>
    </xf>
    <xf numFmtId="166" fontId="45" fillId="10" borderId="14" xfId="1" applyNumberFormat="1" applyFont="1" applyFill="1" applyBorder="1" applyAlignment="1">
      <alignment horizontal="right" vertical="top" wrapText="1"/>
    </xf>
    <xf numFmtId="166" fontId="45" fillId="10" borderId="17" xfId="1" applyNumberFormat="1" applyFont="1" applyFill="1" applyBorder="1" applyAlignment="1">
      <alignment horizontal="right" vertical="top" wrapText="1"/>
    </xf>
    <xf numFmtId="0" fontId="7" fillId="10" borderId="12" xfId="10" applyFont="1" applyFill="1" applyBorder="1" applyAlignment="1">
      <alignment horizontal="left" vertical="top"/>
    </xf>
    <xf numFmtId="170" fontId="7" fillId="12" borderId="25" xfId="8" applyNumberFormat="1" applyFont="1" applyFill="1" applyBorder="1" applyAlignment="1">
      <alignment horizontal="right" vertical="top" wrapText="1"/>
    </xf>
    <xf numFmtId="0" fontId="7" fillId="12" borderId="25" xfId="8" applyFont="1" applyFill="1" applyBorder="1" applyAlignment="1">
      <alignment horizontal="right" vertical="top" wrapText="1"/>
    </xf>
    <xf numFmtId="166" fontId="38" fillId="0" borderId="0" xfId="1" applyNumberFormat="1" applyFont="1"/>
    <xf numFmtId="0" fontId="38" fillId="10" borderId="15" xfId="10" applyFill="1" applyBorder="1" applyAlignment="1">
      <alignment horizontal="left" vertical="top"/>
    </xf>
    <xf numFmtId="0" fontId="38" fillId="10" borderId="16" xfId="10" applyFill="1" applyBorder="1" applyAlignment="1">
      <alignment horizontal="right" vertical="top" wrapText="1"/>
    </xf>
    <xf numFmtId="0" fontId="38" fillId="0" borderId="3" xfId="10" applyBorder="1"/>
    <xf numFmtId="170" fontId="38" fillId="10" borderId="26" xfId="10" applyNumberFormat="1" applyFill="1" applyBorder="1" applyAlignment="1">
      <alignment horizontal="right" vertical="top" wrapText="1"/>
    </xf>
    <xf numFmtId="0" fontId="46" fillId="13" borderId="29" xfId="11" applyFill="1" applyBorder="1"/>
    <xf numFmtId="0" fontId="48" fillId="13" borderId="30" xfId="11" applyFont="1" applyFill="1" applyBorder="1" applyAlignment="1">
      <alignment horizontal="center"/>
    </xf>
    <xf numFmtId="0" fontId="46" fillId="13" borderId="31" xfId="11" applyFill="1" applyBorder="1" applyAlignment="1">
      <alignment horizontal="left" indent="1"/>
    </xf>
    <xf numFmtId="0" fontId="49" fillId="0" borderId="0" xfId="11" applyFont="1" applyAlignment="1">
      <alignment horizontal="left" indent="2"/>
    </xf>
    <xf numFmtId="0" fontId="46" fillId="0" borderId="0" xfId="11"/>
    <xf numFmtId="0" fontId="46" fillId="13" borderId="9" xfId="11" applyFill="1" applyBorder="1"/>
    <xf numFmtId="0" fontId="48" fillId="13" borderId="0" xfId="11" applyFont="1" applyFill="1" applyAlignment="1">
      <alignment horizontal="center"/>
    </xf>
    <xf numFmtId="0" fontId="46" fillId="13" borderId="32" xfId="11" applyFill="1" applyBorder="1" applyAlignment="1">
      <alignment horizontal="left" indent="1"/>
    </xf>
    <xf numFmtId="168" fontId="48" fillId="13" borderId="0" xfId="11" applyNumberFormat="1" applyFont="1" applyFill="1" applyAlignment="1">
      <alignment horizontal="center"/>
    </xf>
    <xf numFmtId="0" fontId="51" fillId="13" borderId="0" xfId="11" applyFont="1" applyFill="1"/>
    <xf numFmtId="0" fontId="46" fillId="13" borderId="0" xfId="11" applyFill="1"/>
    <xf numFmtId="166" fontId="52" fillId="13" borderId="0" xfId="12" applyNumberFormat="1" applyFont="1" applyFill="1" applyBorder="1"/>
    <xf numFmtId="166" fontId="0" fillId="13" borderId="0" xfId="12" applyNumberFormat="1" applyFont="1" applyFill="1" applyBorder="1"/>
    <xf numFmtId="166" fontId="49" fillId="0" borderId="0" xfId="11" applyNumberFormat="1" applyFont="1" applyAlignment="1">
      <alignment horizontal="left" indent="2"/>
    </xf>
    <xf numFmtId="166" fontId="46" fillId="0" borderId="0" xfId="11" applyNumberFormat="1"/>
    <xf numFmtId="44" fontId="52" fillId="0" borderId="3" xfId="13" applyFont="1" applyFill="1" applyBorder="1"/>
    <xf numFmtId="44" fontId="0" fillId="13" borderId="0" xfId="13" applyFont="1" applyFill="1" applyBorder="1"/>
    <xf numFmtId="44" fontId="46" fillId="0" borderId="0" xfId="11" applyNumberFormat="1"/>
    <xf numFmtId="0" fontId="53" fillId="13" borderId="0" xfId="11" applyFont="1" applyFill="1" applyAlignment="1">
      <alignment horizontal="left" vertical="top" indent="2"/>
    </xf>
    <xf numFmtId="165" fontId="0" fillId="13" borderId="0" xfId="13" applyNumberFormat="1" applyFont="1" applyFill="1" applyBorder="1"/>
    <xf numFmtId="165" fontId="46" fillId="0" borderId="0" xfId="2" applyNumberFormat="1" applyFont="1"/>
    <xf numFmtId="0" fontId="51" fillId="13" borderId="33" xfId="11" applyFont="1" applyFill="1" applyBorder="1"/>
    <xf numFmtId="0" fontId="46" fillId="13" borderId="33" xfId="11" applyFill="1" applyBorder="1"/>
    <xf numFmtId="0" fontId="51" fillId="13" borderId="0" xfId="11" applyFont="1" applyFill="1" applyAlignment="1">
      <alignment horizontal="center"/>
    </xf>
    <xf numFmtId="0" fontId="51" fillId="13" borderId="32" xfId="11" applyFont="1" applyFill="1" applyBorder="1" applyAlignment="1">
      <alignment horizontal="left" indent="1"/>
    </xf>
    <xf numFmtId="0" fontId="48" fillId="13" borderId="0" xfId="11" applyFont="1" applyFill="1"/>
    <xf numFmtId="0" fontId="46" fillId="13" borderId="34" xfId="11" applyFill="1" applyBorder="1"/>
    <xf numFmtId="0" fontId="49" fillId="0" borderId="0" xfId="11" applyFont="1" applyAlignment="1">
      <alignment horizontal="left" indent="1"/>
    </xf>
    <xf numFmtId="0" fontId="46" fillId="0" borderId="0" xfId="11" applyAlignment="1">
      <alignment horizontal="left" indent="1"/>
    </xf>
    <xf numFmtId="166" fontId="54" fillId="0" borderId="0" xfId="12" applyNumberFormat="1" applyFont="1" applyFill="1" applyBorder="1"/>
    <xf numFmtId="0" fontId="55" fillId="0" borderId="0" xfId="11" applyFont="1"/>
    <xf numFmtId="0" fontId="46" fillId="13" borderId="8" xfId="11" applyFill="1" applyBorder="1"/>
    <xf numFmtId="10" fontId="46" fillId="13" borderId="8" xfId="3" applyNumberFormat="1" applyFont="1" applyFill="1" applyBorder="1"/>
    <xf numFmtId="10" fontId="0" fillId="13" borderId="8" xfId="14" applyNumberFormat="1" applyFont="1" applyFill="1" applyBorder="1"/>
    <xf numFmtId="0" fontId="46" fillId="0" borderId="32" xfId="11" applyBorder="1" applyAlignment="1">
      <alignment horizontal="left" indent="1"/>
    </xf>
    <xf numFmtId="0" fontId="56" fillId="0" borderId="0" xfId="11" applyFont="1" applyAlignment="1">
      <alignment horizontal="left" indent="2"/>
    </xf>
    <xf numFmtId="0" fontId="48" fillId="14" borderId="0" xfId="11" applyFont="1" applyFill="1"/>
    <xf numFmtId="0" fontId="46" fillId="14" borderId="0" xfId="11" applyFill="1"/>
    <xf numFmtId="10" fontId="0" fillId="13" borderId="32" xfId="14" applyNumberFormat="1" applyFont="1" applyFill="1" applyBorder="1" applyAlignment="1">
      <alignment horizontal="left" indent="1"/>
    </xf>
    <xf numFmtId="0" fontId="51" fillId="14" borderId="0" xfId="11" applyFont="1" applyFill="1"/>
    <xf numFmtId="166" fontId="0" fillId="14" borderId="0" xfId="1" applyNumberFormat="1" applyFont="1" applyFill="1" applyBorder="1" applyAlignment="1">
      <alignment horizontal="right"/>
    </xf>
    <xf numFmtId="10" fontId="0" fillId="14" borderId="0" xfId="14" applyNumberFormat="1" applyFont="1" applyFill="1" applyBorder="1"/>
    <xf numFmtId="0" fontId="46" fillId="13" borderId="32" xfId="11" applyFill="1" applyBorder="1"/>
    <xf numFmtId="0" fontId="57" fillId="0" borderId="0" xfId="11" applyFont="1" applyAlignment="1">
      <alignment horizontal="left" indent="2"/>
    </xf>
    <xf numFmtId="166" fontId="0" fillId="14" borderId="0" xfId="12" applyNumberFormat="1" applyFont="1" applyFill="1" applyBorder="1"/>
    <xf numFmtId="166" fontId="0" fillId="14" borderId="8" xfId="12" applyNumberFormat="1" applyFont="1" applyFill="1" applyBorder="1"/>
    <xf numFmtId="165" fontId="0" fillId="14" borderId="0" xfId="2" applyNumberFormat="1" applyFont="1" applyFill="1" applyBorder="1"/>
    <xf numFmtId="0" fontId="46" fillId="13" borderId="35" xfId="11" applyFill="1" applyBorder="1"/>
    <xf numFmtId="0" fontId="46" fillId="13" borderId="36" xfId="11" applyFill="1" applyBorder="1" applyAlignment="1">
      <alignment horizontal="left" indent="1"/>
    </xf>
    <xf numFmtId="0" fontId="51" fillId="0" borderId="0" xfId="11" applyFont="1"/>
    <xf numFmtId="0" fontId="46" fillId="0" borderId="0" xfId="15" applyAlignment="1">
      <alignment horizontal="center"/>
    </xf>
    <xf numFmtId="0" fontId="46" fillId="0" borderId="0" xfId="15"/>
    <xf numFmtId="0" fontId="60" fillId="0" borderId="10" xfId="15" quotePrefix="1" applyFont="1" applyBorder="1" applyAlignment="1">
      <alignment horizontal="center" wrapText="1"/>
    </xf>
    <xf numFmtId="0" fontId="59" fillId="4" borderId="11" xfId="15" applyFont="1" applyFill="1" applyBorder="1" applyAlignment="1">
      <alignment horizontal="center" wrapText="1"/>
    </xf>
    <xf numFmtId="0" fontId="59" fillId="0" borderId="11" xfId="15" applyFont="1" applyBorder="1" applyAlignment="1">
      <alignment horizontal="center" wrapText="1"/>
    </xf>
    <xf numFmtId="0" fontId="59" fillId="0" borderId="8" xfId="15" applyFont="1" applyBorder="1" applyAlignment="1">
      <alignment horizontal="center" wrapText="1"/>
    </xf>
    <xf numFmtId="0" fontId="58" fillId="0" borderId="8" xfId="15" applyFont="1" applyBorder="1" applyAlignment="1">
      <alignment horizontal="center" wrapText="1"/>
    </xf>
    <xf numFmtId="0" fontId="58" fillId="0" borderId="10" xfId="15" quotePrefix="1" applyFont="1" applyBorder="1" applyAlignment="1">
      <alignment horizontal="center" wrapText="1"/>
    </xf>
    <xf numFmtId="0" fontId="58" fillId="16" borderId="11" xfId="15" applyFont="1" applyFill="1" applyBorder="1" applyAlignment="1">
      <alignment horizontal="center" wrapText="1"/>
    </xf>
    <xf numFmtId="15" fontId="13" fillId="0" borderId="0" xfId="8" applyNumberFormat="1" applyAlignment="1">
      <alignment vertical="center" wrapText="1"/>
    </xf>
    <xf numFmtId="0" fontId="13" fillId="0" borderId="0" xfId="8" applyAlignment="1">
      <alignment vertical="center" wrapText="1"/>
    </xf>
    <xf numFmtId="44" fontId="32" fillId="0" borderId="0" xfId="2" applyFont="1" applyAlignment="1">
      <alignment vertical="center" wrapText="1"/>
    </xf>
    <xf numFmtId="3" fontId="13" fillId="0" borderId="0" xfId="8" applyNumberFormat="1" applyAlignment="1">
      <alignment vertical="center" wrapText="1"/>
    </xf>
    <xf numFmtId="0" fontId="25" fillId="0" borderId="0" xfId="8" applyFont="1" applyAlignment="1">
      <alignment vertical="center" wrapText="1"/>
    </xf>
    <xf numFmtId="0" fontId="25" fillId="0" borderId="24" xfId="8" applyFont="1" applyBorder="1" applyAlignment="1">
      <alignment vertical="center" wrapText="1"/>
    </xf>
    <xf numFmtId="0" fontId="58" fillId="0" borderId="0" xfId="15" applyFont="1" applyAlignment="1">
      <alignment horizontal="center" wrapText="1"/>
    </xf>
    <xf numFmtId="44" fontId="32" fillId="0" borderId="8" xfId="2" applyFont="1" applyBorder="1" applyAlignment="1">
      <alignment vertical="center" wrapText="1"/>
    </xf>
    <xf numFmtId="0" fontId="25" fillId="0" borderId="8" xfId="8" applyFont="1" applyBorder="1" applyAlignment="1">
      <alignment vertical="center" wrapText="1"/>
    </xf>
    <xf numFmtId="0" fontId="25" fillId="0" borderId="11" xfId="8" applyFont="1" applyBorder="1" applyAlignment="1">
      <alignment vertical="center" wrapText="1"/>
    </xf>
    <xf numFmtId="0" fontId="58" fillId="16" borderId="24" xfId="15" applyFont="1" applyFill="1" applyBorder="1" applyAlignment="1">
      <alignment horizontal="center" wrapText="1"/>
    </xf>
    <xf numFmtId="44" fontId="32" fillId="17" borderId="0" xfId="2" applyFont="1" applyFill="1" applyAlignment="1">
      <alignment vertical="center" wrapText="1"/>
    </xf>
    <xf numFmtId="15" fontId="33" fillId="4" borderId="0" xfId="8" applyNumberFormat="1" applyFont="1" applyFill="1" applyAlignment="1">
      <alignment vertical="center"/>
    </xf>
    <xf numFmtId="0" fontId="60" fillId="0" borderId="27" xfId="15" quotePrefix="1" applyFont="1" applyBorder="1" applyAlignment="1">
      <alignment horizontal="center" wrapText="1"/>
    </xf>
    <xf numFmtId="0" fontId="59" fillId="0" borderId="24" xfId="15" applyFont="1" applyBorder="1" applyAlignment="1">
      <alignment horizontal="center" wrapText="1"/>
    </xf>
    <xf numFmtId="0" fontId="59" fillId="0" borderId="0" xfId="15" applyFont="1" applyAlignment="1">
      <alignment horizontal="center" wrapText="1"/>
    </xf>
    <xf numFmtId="0" fontId="59" fillId="4" borderId="24" xfId="15" applyFont="1" applyFill="1" applyBorder="1" applyAlignment="1">
      <alignment horizontal="center" wrapText="1"/>
    </xf>
    <xf numFmtId="0" fontId="58" fillId="0" borderId="27" xfId="15" quotePrefix="1" applyFont="1" applyBorder="1" applyAlignment="1">
      <alignment horizontal="center" wrapText="1"/>
    </xf>
    <xf numFmtId="44" fontId="64" fillId="0" borderId="0" xfId="16" applyFont="1"/>
    <xf numFmtId="0" fontId="52" fillId="0" borderId="0" xfId="15" applyFont="1"/>
    <xf numFmtId="166" fontId="0" fillId="0" borderId="0" xfId="17" applyNumberFormat="1" applyFont="1"/>
    <xf numFmtId="0" fontId="65" fillId="0" borderId="27" xfId="15" applyFont="1" applyBorder="1" applyAlignment="1">
      <alignment horizontal="center"/>
    </xf>
    <xf numFmtId="0" fontId="64" fillId="0" borderId="24" xfId="15" applyFont="1" applyBorder="1"/>
    <xf numFmtId="0" fontId="64" fillId="0" borderId="0" xfId="15" applyFont="1"/>
    <xf numFmtId="0" fontId="46" fillId="16" borderId="24" xfId="15" applyFill="1" applyBorder="1"/>
    <xf numFmtId="44" fontId="0" fillId="0" borderId="0" xfId="2" applyFont="1"/>
    <xf numFmtId="0" fontId="66" fillId="0" borderId="0" xfId="8" applyFont="1" applyAlignment="1">
      <alignment horizontal="left" vertical="center"/>
    </xf>
    <xf numFmtId="0" fontId="13" fillId="0" borderId="0" xfId="8" applyAlignment="1">
      <alignment horizontal="center"/>
    </xf>
    <xf numFmtId="0" fontId="68" fillId="0" borderId="39" xfId="8" applyFont="1" applyBorder="1" applyAlignment="1">
      <alignment horizontal="left" wrapText="1"/>
    </xf>
    <xf numFmtId="0" fontId="68" fillId="0" borderId="39" xfId="8" applyFont="1" applyBorder="1" applyAlignment="1">
      <alignment horizontal="center" wrapText="1"/>
    </xf>
    <xf numFmtId="0" fontId="13" fillId="0" borderId="0" xfId="8" applyAlignment="1">
      <alignment wrapText="1"/>
    </xf>
    <xf numFmtId="0" fontId="67" fillId="0" borderId="0" xfId="8" applyFont="1" applyAlignment="1">
      <alignment horizontal="left" vertical="top" wrapText="1"/>
    </xf>
    <xf numFmtId="169" fontId="67" fillId="0" borderId="0" xfId="8" applyNumberFormat="1" applyFont="1" applyAlignment="1">
      <alignment horizontal="left" vertical="top"/>
    </xf>
    <xf numFmtId="169" fontId="67" fillId="0" borderId="0" xfId="8" applyNumberFormat="1" applyFont="1" applyAlignment="1">
      <alignment horizontal="center" vertical="top"/>
    </xf>
    <xf numFmtId="0" fontId="67" fillId="0" borderId="0" xfId="8" applyFont="1" applyAlignment="1">
      <alignment horizontal="right" vertical="top"/>
    </xf>
    <xf numFmtId="166" fontId="67" fillId="0" borderId="0" xfId="1" applyNumberFormat="1" applyFont="1" applyAlignment="1">
      <alignment horizontal="right" vertical="top"/>
    </xf>
    <xf numFmtId="166" fontId="69" fillId="0" borderId="0" xfId="1" applyNumberFormat="1" applyFont="1" applyFill="1" applyAlignment="1">
      <alignment horizontal="right" vertical="top"/>
    </xf>
    <xf numFmtId="0" fontId="67" fillId="0" borderId="3" xfId="8" applyFont="1" applyBorder="1" applyAlignment="1">
      <alignment horizontal="left" vertical="top" wrapText="1"/>
    </xf>
    <xf numFmtId="169" fontId="67" fillId="0" borderId="3" xfId="8" applyNumberFormat="1" applyFont="1" applyBorder="1" applyAlignment="1">
      <alignment horizontal="left" vertical="top"/>
    </xf>
    <xf numFmtId="169" fontId="67" fillId="0" borderId="3" xfId="8" applyNumberFormat="1" applyFont="1" applyBorder="1" applyAlignment="1">
      <alignment horizontal="center" vertical="top"/>
    </xf>
    <xf numFmtId="0" fontId="67" fillId="0" borderId="3" xfId="8" applyFont="1" applyBorder="1" applyAlignment="1">
      <alignment horizontal="right" vertical="top"/>
    </xf>
    <xf numFmtId="166" fontId="67" fillId="0" borderId="3" xfId="1" applyNumberFormat="1" applyFont="1" applyBorder="1" applyAlignment="1">
      <alignment horizontal="right" vertical="top"/>
    </xf>
    <xf numFmtId="166" fontId="70" fillId="0" borderId="3" xfId="1" applyNumberFormat="1" applyFont="1" applyBorder="1" applyAlignment="1">
      <alignment horizontal="right" vertical="top"/>
    </xf>
    <xf numFmtId="0" fontId="13" fillId="0" borderId="3" xfId="8" applyBorder="1"/>
    <xf numFmtId="166" fontId="13" fillId="0" borderId="3" xfId="8" applyNumberFormat="1" applyBorder="1"/>
    <xf numFmtId="166" fontId="67" fillId="0" borderId="3" xfId="1" applyNumberFormat="1" applyFont="1" applyFill="1" applyBorder="1" applyAlignment="1">
      <alignment horizontal="right" vertical="top"/>
    </xf>
    <xf numFmtId="0" fontId="11" fillId="0" borderId="0" xfId="6"/>
    <xf numFmtId="166" fontId="11" fillId="0" borderId="0" xfId="1" applyNumberFormat="1" applyFont="1"/>
    <xf numFmtId="0" fontId="11" fillId="0" borderId="0" xfId="6" applyAlignment="1">
      <alignment horizontal="center"/>
    </xf>
    <xf numFmtId="0" fontId="11" fillId="0" borderId="0" xfId="6" applyAlignment="1">
      <alignment horizontal="left" indent="1"/>
    </xf>
    <xf numFmtId="0" fontId="11" fillId="0" borderId="0" xfId="18"/>
    <xf numFmtId="0" fontId="72" fillId="13" borderId="40" xfId="8" applyFont="1" applyFill="1" applyBorder="1" applyAlignment="1">
      <alignment horizontal="right"/>
    </xf>
    <xf numFmtId="168" fontId="72" fillId="13" borderId="41" xfId="1" applyNumberFormat="1" applyFont="1" applyFill="1" applyBorder="1"/>
    <xf numFmtId="166" fontId="72" fillId="13" borderId="41" xfId="1" applyNumberFormat="1" applyFont="1" applyFill="1" applyBorder="1"/>
    <xf numFmtId="167" fontId="72" fillId="13" borderId="41" xfId="3" applyNumberFormat="1" applyFont="1" applyFill="1" applyBorder="1"/>
    <xf numFmtId="0" fontId="72" fillId="13" borderId="42" xfId="8" applyFont="1" applyFill="1" applyBorder="1"/>
    <xf numFmtId="0" fontId="73" fillId="0" borderId="0" xfId="8" applyFont="1" applyAlignment="1">
      <alignment horizontal="left" indent="1"/>
    </xf>
    <xf numFmtId="168" fontId="72" fillId="0" borderId="0" xfId="8" applyNumberFormat="1" applyFont="1" applyAlignment="1">
      <alignment horizontal="center"/>
    </xf>
    <xf numFmtId="0" fontId="72" fillId="0" borderId="0" xfId="8" applyFont="1" applyAlignment="1">
      <alignment horizontal="center"/>
    </xf>
    <xf numFmtId="0" fontId="72" fillId="0" borderId="0" xfId="8" applyFont="1" applyAlignment="1">
      <alignment horizontal="left" indent="1"/>
    </xf>
    <xf numFmtId="0" fontId="72" fillId="0" borderId="0" xfId="8" applyFont="1"/>
    <xf numFmtId="166" fontId="74" fillId="0" borderId="9" xfId="1" applyNumberFormat="1" applyFont="1" applyFill="1" applyBorder="1" applyAlignment="1">
      <alignment horizontal="center"/>
    </xf>
    <xf numFmtId="14" fontId="33" fillId="13" borderId="0" xfId="8" applyNumberFormat="1" applyFont="1" applyFill="1" applyAlignment="1">
      <alignment horizontal="center"/>
    </xf>
    <xf numFmtId="166" fontId="75" fillId="0" borderId="32" xfId="1" applyNumberFormat="1" applyFont="1" applyBorder="1"/>
    <xf numFmtId="166" fontId="76" fillId="0" borderId="0" xfId="1" applyNumberFormat="1" applyFont="1" applyAlignment="1">
      <alignment horizontal="left"/>
    </xf>
    <xf numFmtId="168" fontId="75" fillId="0" borderId="0" xfId="1" applyNumberFormat="1" applyFont="1" applyAlignment="1">
      <alignment horizontal="center"/>
    </xf>
    <xf numFmtId="166" fontId="75" fillId="0" borderId="0" xfId="1" applyNumberFormat="1" applyFont="1"/>
    <xf numFmtId="0" fontId="77" fillId="0" borderId="0" xfId="8" applyFont="1"/>
    <xf numFmtId="166" fontId="74" fillId="0" borderId="43" xfId="1" applyNumberFormat="1" applyFont="1" applyFill="1" applyBorder="1" applyAlignment="1">
      <alignment horizontal="center"/>
    </xf>
    <xf numFmtId="14" fontId="33" fillId="13" borderId="44" xfId="8" applyNumberFormat="1" applyFont="1" applyFill="1" applyBorder="1" applyAlignment="1">
      <alignment horizontal="center"/>
    </xf>
    <xf numFmtId="166" fontId="75" fillId="0" borderId="45" xfId="1" applyNumberFormat="1" applyFont="1" applyBorder="1"/>
    <xf numFmtId="0" fontId="78" fillId="0" borderId="0" xfId="8" applyFont="1" applyAlignment="1">
      <alignment horizontal="left" wrapText="1" indent="1"/>
    </xf>
    <xf numFmtId="168" fontId="79" fillId="0" borderId="0" xfId="8" applyNumberFormat="1" applyFont="1" applyAlignment="1">
      <alignment horizontal="center" wrapText="1"/>
    </xf>
    <xf numFmtId="0" fontId="79" fillId="0" borderId="0" xfId="8" applyFont="1"/>
    <xf numFmtId="166" fontId="80" fillId="0" borderId="0" xfId="1" applyNumberFormat="1" applyFont="1" applyAlignment="1">
      <alignment horizontal="center" wrapText="1"/>
    </xf>
    <xf numFmtId="0" fontId="79" fillId="0" borderId="0" xfId="8" applyFont="1" applyAlignment="1">
      <alignment horizontal="center" wrapText="1"/>
    </xf>
    <xf numFmtId="0" fontId="79" fillId="0" borderId="0" xfId="8" applyFont="1" applyAlignment="1">
      <alignment horizontal="left" wrapText="1"/>
    </xf>
    <xf numFmtId="0" fontId="78" fillId="0" borderId="9" xfId="8" applyFont="1" applyBorder="1" applyAlignment="1">
      <alignment horizontal="left"/>
    </xf>
    <xf numFmtId="166" fontId="81" fillId="0" borderId="0" xfId="1" applyNumberFormat="1" applyFont="1" applyBorder="1" applyAlignment="1">
      <alignment horizontal="center" wrapText="1"/>
    </xf>
    <xf numFmtId="167" fontId="81" fillId="0" borderId="0" xfId="3" applyNumberFormat="1" applyFont="1" applyBorder="1" applyAlignment="1">
      <alignment horizontal="center" wrapText="1"/>
    </xf>
    <xf numFmtId="0" fontId="81" fillId="0" borderId="32" xfId="8" applyFont="1" applyBorder="1" applyAlignment="1">
      <alignment horizontal="center" wrapText="1"/>
    </xf>
    <xf numFmtId="0" fontId="82" fillId="0" borderId="0" xfId="8" applyFont="1" applyAlignment="1">
      <alignment horizontal="left" wrapText="1" indent="1"/>
    </xf>
    <xf numFmtId="168" fontId="83" fillId="0" borderId="0" xfId="8" applyNumberFormat="1" applyFont="1" applyAlignment="1">
      <alignment horizontal="center"/>
    </xf>
    <xf numFmtId="0" fontId="84" fillId="0" borderId="0" xfId="8" applyFont="1"/>
    <xf numFmtId="166" fontId="84" fillId="0" borderId="0" xfId="1" applyNumberFormat="1" applyFont="1" applyAlignment="1">
      <alignment horizontal="center" vertical="center"/>
    </xf>
    <xf numFmtId="166" fontId="84" fillId="0" borderId="0" xfId="1" applyNumberFormat="1" applyFont="1" applyAlignment="1">
      <alignment vertical="center"/>
    </xf>
    <xf numFmtId="10" fontId="84" fillId="0" borderId="0" xfId="3" applyNumberFormat="1" applyFont="1" applyAlignment="1">
      <alignment horizontal="center" vertical="center"/>
    </xf>
    <xf numFmtId="0" fontId="84" fillId="0" borderId="0" xfId="8" applyFont="1" applyAlignment="1">
      <alignment vertical="center"/>
    </xf>
    <xf numFmtId="0" fontId="26" fillId="6" borderId="9" xfId="8" applyFont="1" applyFill="1" applyBorder="1" applyAlignment="1">
      <alignment vertical="center"/>
    </xf>
    <xf numFmtId="166" fontId="84" fillId="6" borderId="0" xfId="1" applyNumberFormat="1" applyFont="1" applyFill="1" applyBorder="1" applyAlignment="1">
      <alignment horizontal="center" vertical="center"/>
    </xf>
    <xf numFmtId="166" fontId="84" fillId="6" borderId="0" xfId="1" applyNumberFormat="1" applyFont="1" applyFill="1" applyBorder="1" applyAlignment="1">
      <alignment vertical="center"/>
    </xf>
    <xf numFmtId="167" fontId="84" fillId="6" borderId="0" xfId="3" applyNumberFormat="1" applyFont="1" applyFill="1" applyBorder="1" applyAlignment="1">
      <alignment vertical="center"/>
    </xf>
    <xf numFmtId="167" fontId="84" fillId="6" borderId="32" xfId="3" applyNumberFormat="1" applyFont="1" applyFill="1" applyBorder="1" applyAlignment="1">
      <alignment horizontal="center" vertical="center"/>
    </xf>
    <xf numFmtId="0" fontId="6" fillId="0" borderId="0" xfId="4" applyNumberFormat="1" applyFont="1" applyAlignment="1">
      <alignment horizontal="left" vertical="top" indent="1"/>
    </xf>
    <xf numFmtId="168" fontId="17" fillId="0" borderId="0" xfId="4" applyNumberFormat="1" applyFont="1" applyAlignment="1">
      <alignment horizontal="center" vertical="center"/>
    </xf>
    <xf numFmtId="0" fontId="24" fillId="0" borderId="0" xfId="8" applyFont="1"/>
    <xf numFmtId="166" fontId="24" fillId="0" borderId="0" xfId="1" applyNumberFormat="1" applyFont="1" applyAlignment="1">
      <alignment horizontal="center" vertical="center"/>
    </xf>
    <xf numFmtId="166" fontId="24" fillId="0" borderId="0" xfId="1" applyNumberFormat="1" applyFont="1" applyAlignment="1">
      <alignment vertical="center"/>
    </xf>
    <xf numFmtId="10" fontId="24" fillId="0" borderId="0" xfId="3" applyNumberFormat="1" applyFont="1" applyAlignment="1">
      <alignment horizontal="center" vertical="center"/>
    </xf>
    <xf numFmtId="0" fontId="24" fillId="0" borderId="0" xfId="8" applyFont="1" applyAlignment="1">
      <alignment vertical="center"/>
    </xf>
    <xf numFmtId="0" fontId="28" fillId="0" borderId="9" xfId="8" applyFont="1" applyBorder="1" applyAlignment="1">
      <alignment horizontal="left" vertical="center" indent="1"/>
    </xf>
    <xf numFmtId="166" fontId="24" fillId="0" borderId="0" xfId="1" applyNumberFormat="1" applyFont="1" applyBorder="1" applyAlignment="1">
      <alignment vertical="center"/>
    </xf>
    <xf numFmtId="10" fontId="28" fillId="0" borderId="0" xfId="3" applyNumberFormat="1" applyFont="1" applyBorder="1" applyAlignment="1">
      <alignment vertical="center"/>
    </xf>
    <xf numFmtId="167" fontId="24" fillId="0" borderId="32" xfId="3" applyNumberFormat="1" applyFont="1" applyBorder="1" applyAlignment="1">
      <alignment horizontal="center" vertical="center"/>
    </xf>
    <xf numFmtId="0" fontId="23" fillId="0" borderId="0" xfId="4" applyNumberFormat="1" applyFill="1" applyAlignment="1">
      <alignment horizontal="left" vertical="top" indent="1"/>
    </xf>
    <xf numFmtId="168" fontId="23" fillId="0" borderId="0" xfId="4" applyNumberFormat="1" applyFill="1" applyAlignment="1">
      <alignment horizontal="center" vertical="center"/>
    </xf>
    <xf numFmtId="166" fontId="24" fillId="0" borderId="0" xfId="1" applyNumberFormat="1" applyFont="1" applyFill="1" applyAlignment="1">
      <alignment horizontal="center" vertical="center"/>
    </xf>
    <xf numFmtId="166" fontId="24" fillId="0" borderId="0" xfId="1" applyNumberFormat="1" applyFont="1" applyFill="1" applyAlignment="1">
      <alignment vertical="center"/>
    </xf>
    <xf numFmtId="10" fontId="24" fillId="0" borderId="0" xfId="3" applyNumberFormat="1" applyFont="1" applyFill="1" applyAlignment="1">
      <alignment horizontal="center" vertical="center"/>
    </xf>
    <xf numFmtId="0" fontId="22" fillId="0" borderId="46" xfId="8" applyFont="1" applyBorder="1"/>
    <xf numFmtId="166" fontId="22" fillId="0" borderId="8" xfId="8" applyNumberFormat="1" applyFont="1" applyBorder="1"/>
    <xf numFmtId="10" fontId="22" fillId="0" borderId="8" xfId="3" applyNumberFormat="1" applyFont="1" applyBorder="1"/>
    <xf numFmtId="0" fontId="24" fillId="0" borderId="0" xfId="8" applyFont="1" applyAlignment="1">
      <alignment horizontal="left" indent="1"/>
    </xf>
    <xf numFmtId="168" fontId="17" fillId="0" borderId="0" xfId="8" applyNumberFormat="1" applyFont="1" applyAlignment="1">
      <alignment horizontal="center"/>
    </xf>
    <xf numFmtId="166" fontId="24" fillId="0" borderId="0" xfId="1" applyNumberFormat="1" applyFont="1"/>
    <xf numFmtId="0" fontId="24" fillId="0" borderId="9" xfId="8" applyFont="1" applyBorder="1"/>
    <xf numFmtId="166" fontId="24" fillId="0" borderId="0" xfId="1" applyNumberFormat="1" applyFont="1" applyBorder="1"/>
    <xf numFmtId="10" fontId="24" fillId="0" borderId="0" xfId="3" applyNumberFormat="1" applyFont="1" applyBorder="1"/>
    <xf numFmtId="0" fontId="36" fillId="0" borderId="0" xfId="4" applyNumberFormat="1" applyFont="1"/>
    <xf numFmtId="0" fontId="85" fillId="0" borderId="0" xfId="8" applyFont="1"/>
    <xf numFmtId="0" fontId="78" fillId="0" borderId="0" xfId="4" applyNumberFormat="1" applyFont="1" applyAlignment="1">
      <alignment horizontal="left" vertical="top" indent="1"/>
    </xf>
    <xf numFmtId="166" fontId="24" fillId="0" borderId="0" xfId="1" applyNumberFormat="1" applyFont="1" applyAlignment="1">
      <alignment horizontal="left" vertical="top" indent="1"/>
    </xf>
    <xf numFmtId="166" fontId="17" fillId="0" borderId="0" xfId="1" applyNumberFormat="1" applyFont="1" applyAlignment="1">
      <alignment horizontal="center" vertical="center"/>
    </xf>
    <xf numFmtId="166" fontId="24" fillId="0" borderId="0" xfId="1" applyNumberFormat="1" applyFont="1" applyAlignment="1">
      <alignment horizontal="left" indent="1"/>
    </xf>
    <xf numFmtId="166" fontId="24" fillId="0" borderId="0" xfId="1" applyNumberFormat="1" applyFont="1" applyAlignment="1">
      <alignment horizontal="center"/>
    </xf>
    <xf numFmtId="166" fontId="5" fillId="0" borderId="8" xfId="1" applyNumberFormat="1" applyFont="1" applyBorder="1" applyAlignment="1">
      <alignment horizontal="left" indent="1"/>
    </xf>
    <xf numFmtId="166" fontId="87" fillId="0" borderId="3" xfId="1" applyNumberFormat="1" applyFont="1" applyBorder="1" applyAlignment="1">
      <alignment horizontal="left" indent="1"/>
    </xf>
    <xf numFmtId="166" fontId="28" fillId="0" borderId="8" xfId="1" applyNumberFormat="1" applyFont="1" applyBorder="1" applyAlignment="1">
      <alignment horizontal="left" indent="1"/>
    </xf>
    <xf numFmtId="168" fontId="24" fillId="0" borderId="0" xfId="8" applyNumberFormat="1" applyFont="1" applyAlignment="1">
      <alignment horizontal="center"/>
    </xf>
    <xf numFmtId="167" fontId="24" fillId="0" borderId="0" xfId="3" applyNumberFormat="1" applyFont="1"/>
    <xf numFmtId="175" fontId="87" fillId="0" borderId="0" xfId="8" applyNumberFormat="1" applyFont="1" applyAlignment="1">
      <alignment horizontal="left" indent="1"/>
    </xf>
    <xf numFmtId="0" fontId="67" fillId="0" borderId="0" xfId="0" applyFont="1" applyAlignment="1">
      <alignment vertical="top"/>
    </xf>
    <xf numFmtId="0" fontId="71" fillId="0" borderId="39" xfId="0" applyFont="1" applyBorder="1" applyAlignment="1">
      <alignment horizontal="left"/>
    </xf>
    <xf numFmtId="0" fontId="71" fillId="0" borderId="39" xfId="0" applyFont="1" applyBorder="1" applyAlignment="1">
      <alignment horizontal="center"/>
    </xf>
    <xf numFmtId="0" fontId="67" fillId="0" borderId="0" xfId="0" applyFont="1" applyAlignment="1">
      <alignment horizontal="left" vertical="top" wrapText="1"/>
    </xf>
    <xf numFmtId="0" fontId="67" fillId="0" borderId="0" xfId="0" applyFont="1" applyAlignment="1">
      <alignment horizontal="right" vertical="top"/>
    </xf>
    <xf numFmtId="0" fontId="89" fillId="0" borderId="0" xfId="8" applyFont="1"/>
    <xf numFmtId="0" fontId="7" fillId="10" borderId="13" xfId="0" applyFont="1" applyFill="1" applyBorder="1" applyAlignment="1">
      <alignment horizontal="left" vertical="top"/>
    </xf>
    <xf numFmtId="169" fontId="7" fillId="10" borderId="13" xfId="0" applyNumberFormat="1" applyFont="1" applyFill="1" applyBorder="1" applyAlignment="1">
      <alignment horizontal="center" vertical="top"/>
    </xf>
    <xf numFmtId="0" fontId="0" fillId="10" borderId="16" xfId="0" applyFill="1" applyBorder="1" applyAlignment="1">
      <alignment horizontal="left" vertical="top"/>
    </xf>
    <xf numFmtId="0" fontId="0" fillId="10" borderId="16" xfId="0" applyFill="1" applyBorder="1" applyAlignment="1">
      <alignment horizontal="center" vertical="top"/>
    </xf>
    <xf numFmtId="0" fontId="7" fillId="10" borderId="12" xfId="0" applyFont="1" applyFill="1" applyBorder="1" applyAlignment="1">
      <alignment horizontal="left" vertical="top"/>
    </xf>
    <xf numFmtId="0" fontId="0" fillId="10" borderId="15" xfId="0" applyFill="1" applyBorder="1" applyAlignment="1">
      <alignment horizontal="left" vertical="top"/>
    </xf>
    <xf numFmtId="0" fontId="40" fillId="7" borderId="0" xfId="10" applyFont="1" applyFill="1"/>
    <xf numFmtId="0" fontId="42" fillId="7" borderId="0" xfId="10" applyFont="1" applyFill="1"/>
    <xf numFmtId="0" fontId="38" fillId="7" borderId="0" xfId="10" applyFill="1"/>
    <xf numFmtId="171" fontId="7" fillId="10" borderId="13" xfId="0" applyNumberFormat="1" applyFont="1" applyFill="1" applyBorder="1" applyAlignment="1">
      <alignment horizontal="right" vertical="top"/>
    </xf>
    <xf numFmtId="0" fontId="0" fillId="10" borderId="12" xfId="0" applyFill="1" applyBorder="1" applyAlignment="1">
      <alignment horizontal="left" vertical="top"/>
    </xf>
    <xf numFmtId="0" fontId="0" fillId="10" borderId="13" xfId="0" applyFill="1" applyBorder="1" applyAlignment="1">
      <alignment horizontal="left" vertical="top"/>
    </xf>
    <xf numFmtId="0" fontId="0" fillId="10" borderId="13" xfId="0" applyFill="1" applyBorder="1" applyAlignment="1">
      <alignment horizontal="center" vertical="top"/>
    </xf>
    <xf numFmtId="0" fontId="0" fillId="10" borderId="13" xfId="0" applyFill="1" applyBorder="1" applyAlignment="1">
      <alignment horizontal="right" vertical="top"/>
    </xf>
    <xf numFmtId="0" fontId="7" fillId="10" borderId="13" xfId="0" applyFont="1" applyFill="1" applyBorder="1" applyAlignment="1">
      <alignment horizontal="center" vertical="top"/>
    </xf>
    <xf numFmtId="0" fontId="0" fillId="10" borderId="16" xfId="0" applyFill="1" applyBorder="1" applyAlignment="1">
      <alignment horizontal="right" vertical="top"/>
    </xf>
    <xf numFmtId="0" fontId="61" fillId="7" borderId="24" xfId="15" applyFont="1" applyFill="1" applyBorder="1" applyAlignment="1">
      <alignment horizontal="center" wrapText="1"/>
    </xf>
    <xf numFmtId="0" fontId="46" fillId="7" borderId="24" xfId="15" applyFill="1" applyBorder="1"/>
    <xf numFmtId="0" fontId="0" fillId="8" borderId="8" xfId="0" applyFill="1" applyBorder="1" applyAlignment="1">
      <alignment horizontal="left" vertical="top" wrapText="1"/>
    </xf>
    <xf numFmtId="0" fontId="0" fillId="8" borderId="11" xfId="0" applyFill="1" applyBorder="1" applyAlignment="1">
      <alignment horizontal="left" vertical="top" wrapText="1"/>
    </xf>
    <xf numFmtId="170" fontId="7" fillId="10" borderId="13" xfId="0" applyNumberFormat="1" applyFont="1" applyFill="1" applyBorder="1" applyAlignment="1">
      <alignment horizontal="right" vertical="top" wrapText="1"/>
    </xf>
    <xf numFmtId="0" fontId="7" fillId="10" borderId="13" xfId="0" applyFont="1" applyFill="1" applyBorder="1" applyAlignment="1">
      <alignment horizontal="left" vertical="top" wrapText="1"/>
    </xf>
    <xf numFmtId="170" fontId="7" fillId="10" borderId="14" xfId="0" applyNumberFormat="1" applyFont="1" applyFill="1" applyBorder="1" applyAlignment="1">
      <alignment horizontal="right" vertical="top" wrapText="1"/>
    </xf>
    <xf numFmtId="0" fontId="0" fillId="10" borderId="13" xfId="0" applyFill="1" applyBorder="1" applyAlignment="1">
      <alignment horizontal="right" vertical="top" wrapText="1"/>
    </xf>
    <xf numFmtId="0" fontId="0" fillId="10" borderId="13" xfId="0" applyFill="1" applyBorder="1" applyAlignment="1">
      <alignment horizontal="left" vertical="top" wrapText="1"/>
    </xf>
    <xf numFmtId="170" fontId="0" fillId="10" borderId="13" xfId="0" applyNumberFormat="1" applyFill="1" applyBorder="1" applyAlignment="1">
      <alignment horizontal="right" vertical="top" wrapText="1"/>
    </xf>
    <xf numFmtId="170" fontId="0" fillId="10" borderId="14" xfId="0" applyNumberFormat="1" applyFill="1" applyBorder="1" applyAlignment="1">
      <alignment horizontal="right" vertical="top" wrapText="1"/>
    </xf>
    <xf numFmtId="0" fontId="0" fillId="10" borderId="14" xfId="0" applyFill="1" applyBorder="1" applyAlignment="1">
      <alignment horizontal="right" vertical="top" wrapText="1"/>
    </xf>
    <xf numFmtId="0" fontId="0" fillId="10" borderId="16" xfId="0" applyFill="1" applyBorder="1" applyAlignment="1">
      <alignment horizontal="right" vertical="top" wrapText="1"/>
    </xf>
    <xf numFmtId="0" fontId="0" fillId="10" borderId="16" xfId="0" applyFill="1" applyBorder="1" applyAlignment="1">
      <alignment horizontal="left" vertical="top" wrapText="1"/>
    </xf>
    <xf numFmtId="170" fontId="0" fillId="10" borderId="16" xfId="0" applyNumberFormat="1" applyFill="1" applyBorder="1" applyAlignment="1">
      <alignment horizontal="right" vertical="top" wrapText="1"/>
    </xf>
    <xf numFmtId="170" fontId="0" fillId="10" borderId="17" xfId="0" applyNumberFormat="1" applyFill="1" applyBorder="1" applyAlignment="1">
      <alignment horizontal="right" vertical="top" wrapText="1"/>
    </xf>
    <xf numFmtId="0" fontId="7" fillId="10" borderId="3" xfId="0" applyFont="1" applyFill="1" applyBorder="1" applyAlignment="1">
      <alignment horizontal="left" vertical="top" wrapText="1"/>
    </xf>
    <xf numFmtId="0" fontId="7" fillId="10" borderId="37" xfId="0" applyFont="1" applyFill="1" applyBorder="1" applyAlignment="1">
      <alignment horizontal="left" vertical="top" wrapText="1"/>
    </xf>
    <xf numFmtId="0" fontId="46" fillId="0" borderId="0" xfId="8" applyFont="1"/>
    <xf numFmtId="0" fontId="46" fillId="0" borderId="0" xfId="8" applyFont="1" applyAlignment="1">
      <alignment horizontal="left"/>
    </xf>
    <xf numFmtId="166" fontId="62" fillId="0" borderId="0" xfId="1" applyNumberFormat="1" applyFont="1" applyFill="1" applyBorder="1"/>
    <xf numFmtId="0" fontId="46" fillId="0" borderId="0" xfId="8" applyFont="1" applyAlignment="1">
      <alignment horizontal="center"/>
    </xf>
    <xf numFmtId="44" fontId="62" fillId="0" borderId="0" xfId="2" applyFont="1" applyFill="1" applyBorder="1"/>
    <xf numFmtId="166" fontId="90" fillId="0" borderId="0" xfId="1" applyNumberFormat="1" applyFont="1" applyFill="1" applyBorder="1" applyAlignment="1">
      <alignment horizontal="center" vertical="center" wrapText="1"/>
    </xf>
    <xf numFmtId="3" fontId="46" fillId="0" borderId="0" xfId="8" applyNumberFormat="1" applyFont="1" applyAlignment="1">
      <alignment horizontal="left"/>
    </xf>
    <xf numFmtId="166" fontId="64" fillId="0" borderId="0" xfId="1" applyNumberFormat="1" applyFont="1" applyFill="1" applyBorder="1" applyAlignment="1">
      <alignment horizontal="right" vertical="top" wrapText="1"/>
    </xf>
    <xf numFmtId="166" fontId="64" fillId="0" borderId="0" xfId="1" applyNumberFormat="1" applyFont="1" applyFill="1" applyBorder="1"/>
    <xf numFmtId="44" fontId="52" fillId="0" borderId="0" xfId="2" applyFont="1" applyFill="1" applyBorder="1"/>
    <xf numFmtId="166" fontId="52" fillId="0" borderId="0" xfId="1" applyNumberFormat="1" applyFont="1" applyFill="1" applyBorder="1"/>
    <xf numFmtId="166" fontId="93" fillId="0" borderId="0" xfId="1" applyNumberFormat="1" applyFont="1" applyFill="1" applyBorder="1" applyAlignment="1">
      <alignment horizontal="right" vertical="top" wrapText="1"/>
    </xf>
    <xf numFmtId="0" fontId="64" fillId="0" borderId="0" xfId="8" applyFont="1" applyAlignment="1">
      <alignment horizontal="left" vertical="top" wrapText="1"/>
    </xf>
    <xf numFmtId="0" fontId="64" fillId="0" borderId="0" xfId="8" applyFont="1" applyAlignment="1">
      <alignment horizontal="left" vertical="top"/>
    </xf>
    <xf numFmtId="14" fontId="64" fillId="0" borderId="0" xfId="8" applyNumberFormat="1" applyFont="1" applyAlignment="1">
      <alignment horizontal="left" vertical="top"/>
    </xf>
    <xf numFmtId="0" fontId="64" fillId="0" borderId="0" xfId="8" applyFont="1"/>
    <xf numFmtId="0" fontId="52" fillId="0" borderId="0" xfId="8" applyFont="1"/>
    <xf numFmtId="0" fontId="64" fillId="0" borderId="0" xfId="8" applyFont="1" applyAlignment="1">
      <alignment horizontal="center"/>
    </xf>
    <xf numFmtId="14" fontId="52" fillId="0" borderId="0" xfId="8" applyNumberFormat="1" applyFont="1"/>
    <xf numFmtId="0" fontId="93" fillId="0" borderId="0" xfId="8" applyFont="1" applyAlignment="1">
      <alignment horizontal="left" vertical="top" wrapText="1"/>
    </xf>
    <xf numFmtId="0" fontId="93" fillId="0" borderId="0" xfId="8" applyFont="1" applyAlignment="1">
      <alignment horizontal="left" vertical="top"/>
    </xf>
    <xf numFmtId="14" fontId="93" fillId="0" borderId="0" xfId="8" applyNumberFormat="1" applyFont="1" applyAlignment="1">
      <alignment horizontal="left" vertical="top"/>
    </xf>
    <xf numFmtId="0" fontId="52" fillId="0" borderId="0" xfId="8" applyFont="1" applyAlignment="1">
      <alignment horizontal="center"/>
    </xf>
    <xf numFmtId="166" fontId="46" fillId="0" borderId="0" xfId="1" applyNumberFormat="1" applyFont="1"/>
    <xf numFmtId="166" fontId="46" fillId="0" borderId="0" xfId="1" applyNumberFormat="1" applyFont="1" applyFill="1" applyBorder="1"/>
    <xf numFmtId="166" fontId="46" fillId="0" borderId="0" xfId="1" applyNumberFormat="1" applyFont="1" applyBorder="1"/>
    <xf numFmtId="0" fontId="94" fillId="0" borderId="8" xfId="8" applyFont="1" applyBorder="1"/>
    <xf numFmtId="14" fontId="94" fillId="0" borderId="8" xfId="8" applyNumberFormat="1" applyFont="1" applyBorder="1"/>
    <xf numFmtId="44" fontId="94" fillId="0" borderId="8" xfId="2" applyFont="1" applyFill="1" applyBorder="1"/>
    <xf numFmtId="0" fontId="96" fillId="9" borderId="7" xfId="0" applyFont="1" applyFill="1" applyBorder="1" applyAlignment="1">
      <alignment horizontal="center" vertical="center" wrapText="1"/>
    </xf>
    <xf numFmtId="0" fontId="97" fillId="0" borderId="0" xfId="8" applyFont="1" applyAlignment="1">
      <alignment horizontal="left"/>
    </xf>
    <xf numFmtId="0" fontId="98" fillId="18" borderId="0" xfId="8" applyFont="1" applyFill="1" applyAlignment="1">
      <alignment horizontal="left"/>
    </xf>
    <xf numFmtId="0" fontId="92" fillId="18" borderId="0" xfId="8" applyFont="1" applyFill="1" applyAlignment="1">
      <alignment horizontal="left"/>
    </xf>
    <xf numFmtId="166" fontId="91" fillId="18" borderId="0" xfId="1" applyNumberFormat="1" applyFont="1" applyFill="1" applyBorder="1"/>
    <xf numFmtId="0" fontId="92" fillId="18" borderId="0" xfId="8" applyFont="1" applyFill="1"/>
    <xf numFmtId="0" fontId="92" fillId="18" borderId="0" xfId="8" applyFont="1" applyFill="1" applyAlignment="1">
      <alignment horizontal="center"/>
    </xf>
    <xf numFmtId="44" fontId="91" fillId="18" borderId="0" xfId="2" applyFont="1" applyFill="1" applyBorder="1"/>
    <xf numFmtId="166" fontId="92" fillId="18" borderId="0" xfId="1" applyNumberFormat="1" applyFont="1" applyFill="1"/>
    <xf numFmtId="0" fontId="94" fillId="0" borderId="8" xfId="8" applyFont="1" applyBorder="1" applyAlignment="1">
      <alignment horizontal="center"/>
    </xf>
    <xf numFmtId="0" fontId="50" fillId="0" borderId="0" xfId="8" applyFont="1"/>
    <xf numFmtId="14" fontId="64" fillId="0" borderId="0" xfId="8" applyNumberFormat="1" applyFont="1"/>
    <xf numFmtId="44" fontId="64" fillId="0" borderId="0" xfId="2" applyFont="1" applyFill="1" applyBorder="1"/>
    <xf numFmtId="0" fontId="99" fillId="0" borderId="0" xfId="8" applyFont="1" applyAlignment="1">
      <alignment horizontal="left"/>
    </xf>
    <xf numFmtId="166" fontId="94" fillId="0" borderId="8" xfId="1" applyNumberFormat="1" applyFont="1" applyFill="1" applyBorder="1"/>
    <xf numFmtId="166" fontId="96" fillId="9" borderId="7" xfId="1" applyNumberFormat="1" applyFont="1" applyFill="1" applyBorder="1" applyAlignment="1">
      <alignment horizontal="center" vertical="center" wrapText="1"/>
    </xf>
    <xf numFmtId="0" fontId="93" fillId="0" borderId="8" xfId="8" applyFont="1" applyBorder="1" applyAlignment="1">
      <alignment horizontal="left" vertical="top" wrapText="1"/>
    </xf>
    <xf numFmtId="0" fontId="93" fillId="0" borderId="8" xfId="8" applyFont="1" applyBorder="1" applyAlignment="1">
      <alignment horizontal="left" vertical="top"/>
    </xf>
    <xf numFmtId="14" fontId="93" fillId="0" borderId="8" xfId="8" applyNumberFormat="1" applyFont="1" applyBorder="1" applyAlignment="1">
      <alignment horizontal="left" vertical="top"/>
    </xf>
    <xf numFmtId="166" fontId="93" fillId="0" borderId="8" xfId="1" applyNumberFormat="1" applyFont="1" applyFill="1" applyBorder="1" applyAlignment="1">
      <alignment horizontal="right" vertical="top" wrapText="1"/>
    </xf>
    <xf numFmtId="0" fontId="51" fillId="0" borderId="8" xfId="8" applyFont="1" applyBorder="1"/>
    <xf numFmtId="0" fontId="46" fillId="0" borderId="8" xfId="8" applyFont="1" applyBorder="1"/>
    <xf numFmtId="0" fontId="52" fillId="0" borderId="8" xfId="8" applyFont="1" applyBorder="1" applyAlignment="1">
      <alignment horizontal="center"/>
    </xf>
    <xf numFmtId="14" fontId="52" fillId="0" borderId="8" xfId="8" applyNumberFormat="1" applyFont="1" applyBorder="1"/>
    <xf numFmtId="166" fontId="62" fillId="0" borderId="8" xfId="1" applyNumberFormat="1" applyFont="1" applyFill="1" applyBorder="1"/>
    <xf numFmtId="44" fontId="52" fillId="0" borderId="8" xfId="2" applyFont="1" applyFill="1" applyBorder="1"/>
    <xf numFmtId="0" fontId="52" fillId="0" borderId="8" xfId="8" applyFont="1" applyBorder="1"/>
    <xf numFmtId="166" fontId="52" fillId="0" borderId="8" xfId="1" applyNumberFormat="1" applyFont="1" applyFill="1" applyBorder="1"/>
    <xf numFmtId="166" fontId="46" fillId="0" borderId="8" xfId="1" applyNumberFormat="1" applyFont="1" applyFill="1" applyBorder="1"/>
    <xf numFmtId="170" fontId="100" fillId="10" borderId="13" xfId="0" applyNumberFormat="1" applyFont="1" applyFill="1" applyBorder="1" applyAlignment="1">
      <alignment horizontal="right" vertical="top" wrapText="1"/>
    </xf>
    <xf numFmtId="0" fontId="40" fillId="13" borderId="0" xfId="10" applyFont="1" applyFill="1"/>
    <xf numFmtId="0" fontId="41" fillId="13" borderId="0" xfId="10" applyFont="1" applyFill="1"/>
    <xf numFmtId="166" fontId="40" fillId="13" borderId="0" xfId="1" applyNumberFormat="1" applyFont="1" applyFill="1"/>
    <xf numFmtId="166" fontId="42" fillId="0" borderId="0" xfId="1" applyNumberFormat="1" applyFont="1"/>
    <xf numFmtId="166" fontId="44" fillId="11" borderId="20" xfId="1" applyNumberFormat="1" applyFont="1" applyFill="1" applyBorder="1" applyAlignment="1">
      <alignment horizontal="left" vertical="center" wrapText="1"/>
    </xf>
    <xf numFmtId="166" fontId="95" fillId="0" borderId="8" xfId="1" applyNumberFormat="1" applyFont="1" applyFill="1" applyBorder="1"/>
    <xf numFmtId="0" fontId="102" fillId="0" borderId="8" xfId="8" applyFont="1" applyBorder="1" applyAlignment="1">
      <alignment horizontal="left" vertical="top" wrapText="1"/>
    </xf>
    <xf numFmtId="0" fontId="102" fillId="0" borderId="8" xfId="8" applyFont="1" applyBorder="1" applyAlignment="1">
      <alignment horizontal="left" vertical="top"/>
    </xf>
    <xf numFmtId="14" fontId="102" fillId="0" borderId="8" xfId="8" applyNumberFormat="1" applyFont="1" applyBorder="1" applyAlignment="1">
      <alignment horizontal="left" vertical="top"/>
    </xf>
    <xf numFmtId="166" fontId="102" fillId="0" borderId="8" xfId="1" applyNumberFormat="1" applyFont="1" applyFill="1" applyBorder="1" applyAlignment="1">
      <alignment horizontal="right" vertical="top" wrapText="1"/>
    </xf>
    <xf numFmtId="166" fontId="51" fillId="0" borderId="8" xfId="1" applyNumberFormat="1" applyFont="1" applyFill="1" applyBorder="1"/>
    <xf numFmtId="0" fontId="103" fillId="0" borderId="0" xfId="0" applyFont="1" applyAlignment="1">
      <alignment horizontal="justify" vertical="center"/>
    </xf>
    <xf numFmtId="0" fontId="104" fillId="0" borderId="0" xfId="0" applyFont="1" applyAlignment="1">
      <alignment horizontal="justify" vertical="center"/>
    </xf>
    <xf numFmtId="3" fontId="36" fillId="0" borderId="0" xfId="4" applyFont="1" applyAlignment="1">
      <alignment horizontal="left" indent="1"/>
    </xf>
    <xf numFmtId="166" fontId="13" fillId="0" borderId="0" xfId="1" applyNumberFormat="1"/>
    <xf numFmtId="169" fontId="67" fillId="0" borderId="0" xfId="0" applyNumberFormat="1" applyFont="1" applyAlignment="1">
      <alignment horizontal="left" vertical="top"/>
    </xf>
    <xf numFmtId="169" fontId="67" fillId="0" borderId="0" xfId="0" applyNumberFormat="1" applyFont="1" applyAlignment="1">
      <alignment horizontal="right" vertical="top"/>
    </xf>
    <xf numFmtId="43" fontId="13" fillId="0" borderId="0" xfId="1"/>
    <xf numFmtId="43" fontId="68" fillId="0" borderId="39" xfId="1" applyFont="1" applyBorder="1" applyAlignment="1">
      <alignment horizontal="center" wrapText="1"/>
    </xf>
    <xf numFmtId="43" fontId="67" fillId="0" borderId="0" xfId="1" applyFont="1" applyAlignment="1">
      <alignment horizontal="right" vertical="top"/>
    </xf>
    <xf numFmtId="43" fontId="11" fillId="0" borderId="0" xfId="1" applyFont="1"/>
    <xf numFmtId="166" fontId="68" fillId="0" borderId="39" xfId="1" applyNumberFormat="1" applyFont="1" applyBorder="1" applyAlignment="1">
      <alignment horizontal="center" wrapText="1"/>
    </xf>
    <xf numFmtId="43" fontId="67" fillId="0" borderId="3" xfId="1" applyFont="1" applyBorder="1" applyAlignment="1">
      <alignment horizontal="right" vertical="top"/>
    </xf>
    <xf numFmtId="0" fontId="67" fillId="0" borderId="3" xfId="0" applyFont="1" applyBorder="1" applyAlignment="1">
      <alignment horizontal="left" vertical="top" wrapText="1"/>
    </xf>
    <xf numFmtId="169" fontId="67" fillId="0" borderId="3" xfId="0" applyNumberFormat="1" applyFont="1" applyBorder="1" applyAlignment="1">
      <alignment horizontal="left" vertical="top"/>
    </xf>
    <xf numFmtId="169" fontId="67" fillId="0" borderId="3" xfId="0" applyNumberFormat="1" applyFont="1" applyBorder="1" applyAlignment="1">
      <alignment horizontal="right" vertical="top"/>
    </xf>
    <xf numFmtId="0" fontId="67" fillId="0" borderId="3" xfId="0" applyFont="1" applyBorder="1" applyAlignment="1">
      <alignment horizontal="right" vertical="top"/>
    </xf>
    <xf numFmtId="0" fontId="0" fillId="0" borderId="3" xfId="0" applyBorder="1"/>
    <xf numFmtId="0" fontId="105" fillId="0" borderId="0" xfId="5" applyFont="1" applyAlignment="1" applyProtection="1">
      <alignment horizontal="left" indent="1"/>
      <protection locked="0"/>
    </xf>
    <xf numFmtId="0" fontId="106" fillId="0" borderId="0" xfId="5" applyFont="1" applyProtection="1">
      <protection locked="0"/>
    </xf>
    <xf numFmtId="3" fontId="105" fillId="0" borderId="0" xfId="5" applyNumberFormat="1" applyFont="1" applyProtection="1">
      <protection locked="0"/>
    </xf>
    <xf numFmtId="166" fontId="63" fillId="0" borderId="0" xfId="1" applyNumberFormat="1" applyFont="1" applyFill="1" applyBorder="1"/>
    <xf numFmtId="0" fontId="13" fillId="0" borderId="0" xfId="0" applyFont="1" applyAlignment="1">
      <alignment horizontal="left" vertical="top" wrapText="1"/>
    </xf>
    <xf numFmtId="0" fontId="13" fillId="0" borderId="3" xfId="0" applyFont="1" applyBorder="1" applyAlignment="1">
      <alignment horizontal="left" vertical="top" wrapText="1"/>
    </xf>
    <xf numFmtId="170" fontId="7" fillId="0" borderId="13" xfId="8" applyNumberFormat="1" applyFont="1" applyBorder="1" applyAlignment="1">
      <alignment horizontal="right" vertical="top" wrapText="1"/>
    </xf>
    <xf numFmtId="0" fontId="45" fillId="10" borderId="13" xfId="8" applyFont="1" applyFill="1" applyBorder="1" applyAlignment="1">
      <alignment horizontal="left" vertical="top"/>
    </xf>
    <xf numFmtId="0" fontId="7" fillId="10" borderId="48" xfId="0" applyFont="1" applyFill="1" applyBorder="1" applyAlignment="1">
      <alignment horizontal="left" vertical="top" wrapText="1"/>
    </xf>
    <xf numFmtId="0" fontId="7" fillId="10" borderId="50" xfId="0" applyFont="1" applyFill="1" applyBorder="1" applyAlignment="1">
      <alignment horizontal="left" vertical="top" wrapText="1"/>
    </xf>
    <xf numFmtId="0" fontId="52" fillId="0" borderId="0" xfId="8" applyFont="1" applyAlignment="1">
      <alignment horizontal="left" vertical="top" wrapText="1"/>
    </xf>
    <xf numFmtId="0" fontId="52" fillId="0" borderId="0" xfId="8" applyFont="1" applyAlignment="1">
      <alignment horizontal="left" vertical="top"/>
    </xf>
    <xf numFmtId="14" fontId="52" fillId="0" borderId="0" xfId="8" applyNumberFormat="1" applyFont="1" applyAlignment="1">
      <alignment horizontal="left" vertical="top"/>
    </xf>
    <xf numFmtId="166" fontId="52" fillId="0" borderId="0" xfId="1" applyNumberFormat="1" applyFont="1" applyFill="1" applyBorder="1" applyAlignment="1">
      <alignment horizontal="right" vertical="top" wrapText="1"/>
    </xf>
    <xf numFmtId="166" fontId="108" fillId="0" borderId="0" xfId="1" applyNumberFormat="1" applyFont="1" applyFill="1" applyBorder="1"/>
    <xf numFmtId="0" fontId="25" fillId="0" borderId="3" xfId="8" applyFont="1" applyBorder="1" applyAlignment="1">
      <alignment vertical="center" wrapText="1"/>
    </xf>
    <xf numFmtId="166" fontId="13" fillId="16" borderId="8" xfId="1" applyNumberFormat="1" applyFont="1" applyFill="1" applyBorder="1" applyAlignment="1">
      <alignment vertical="center" wrapText="1"/>
    </xf>
    <xf numFmtId="44" fontId="13" fillId="0" borderId="0" xfId="8" applyNumberFormat="1"/>
    <xf numFmtId="0" fontId="109" fillId="0" borderId="0" xfId="0" applyFont="1" applyAlignment="1">
      <alignment horizontal="left" vertical="center"/>
    </xf>
    <xf numFmtId="3" fontId="109" fillId="0" borderId="0" xfId="0" applyNumberFormat="1" applyFont="1" applyAlignment="1">
      <alignment horizontal="left" vertical="center"/>
    </xf>
    <xf numFmtId="4" fontId="109" fillId="0" borderId="0" xfId="0" applyNumberFormat="1" applyFont="1" applyAlignment="1">
      <alignment horizontal="left" vertical="center"/>
    </xf>
    <xf numFmtId="166" fontId="67" fillId="0" borderId="0" xfId="1" applyNumberFormat="1" applyFont="1" applyFill="1" applyAlignment="1">
      <alignment horizontal="right" vertical="top"/>
    </xf>
    <xf numFmtId="0" fontId="13" fillId="0" borderId="0" xfId="0" applyFont="1" applyAlignment="1">
      <alignment horizontal="left" vertical="top"/>
    </xf>
    <xf numFmtId="166" fontId="107" fillId="0" borderId="3" xfId="0" applyNumberFormat="1" applyFont="1" applyBorder="1"/>
    <xf numFmtId="0" fontId="111" fillId="0" borderId="0" xfId="8" applyFont="1"/>
    <xf numFmtId="166" fontId="87" fillId="0" borderId="0" xfId="1" applyNumberFormat="1" applyFont="1" applyAlignment="1">
      <alignment horizontal="left" vertical="center"/>
    </xf>
    <xf numFmtId="166" fontId="87" fillId="0" borderId="8" xfId="1" applyNumberFormat="1" applyFont="1" applyBorder="1" applyAlignment="1">
      <alignment horizontal="left" vertical="center"/>
    </xf>
    <xf numFmtId="174" fontId="8" fillId="0" borderId="47" xfId="3" applyNumberFormat="1" applyFont="1" applyBorder="1" applyAlignment="1">
      <alignment horizontal="center"/>
    </xf>
    <xf numFmtId="44" fontId="32" fillId="0" borderId="3" xfId="2" applyFont="1" applyBorder="1" applyAlignment="1">
      <alignment vertical="center" wrapText="1"/>
    </xf>
    <xf numFmtId="0" fontId="25" fillId="0" borderId="37" xfId="8" applyFont="1" applyBorder="1" applyAlignment="1">
      <alignment vertical="center" wrapText="1"/>
    </xf>
    <xf numFmtId="43" fontId="112" fillId="0" borderId="0" xfId="1" applyFont="1"/>
    <xf numFmtId="166" fontId="13" fillId="0" borderId="8" xfId="1" applyNumberFormat="1" applyBorder="1"/>
    <xf numFmtId="166" fontId="32" fillId="0" borderId="0" xfId="1" applyNumberFormat="1" applyFont="1"/>
    <xf numFmtId="168" fontId="32" fillId="0" borderId="0" xfId="8" applyNumberFormat="1" applyFont="1"/>
    <xf numFmtId="0" fontId="23" fillId="0" borderId="0" xfId="4" applyNumberFormat="1" applyFill="1" applyAlignment="1">
      <alignment horizontal="left" vertical="top"/>
    </xf>
    <xf numFmtId="0" fontId="25" fillId="0" borderId="0" xfId="8" applyFont="1" applyAlignment="1">
      <alignment horizontal="right"/>
    </xf>
    <xf numFmtId="166" fontId="33" fillId="0" borderId="0" xfId="1" applyNumberFormat="1" applyFont="1"/>
    <xf numFmtId="166" fontId="24" fillId="0" borderId="0" xfId="8" applyNumberFormat="1" applyFont="1"/>
    <xf numFmtId="166" fontId="24" fillId="0" borderId="8" xfId="8" applyNumberFormat="1" applyFont="1" applyBorder="1"/>
    <xf numFmtId="166" fontId="87" fillId="0" borderId="0" xfId="1" applyNumberFormat="1" applyFont="1" applyAlignment="1">
      <alignment horizontal="center"/>
    </xf>
    <xf numFmtId="0" fontId="87" fillId="0" borderId="0" xfId="8" applyFont="1" applyAlignment="1">
      <alignment horizontal="left" indent="1"/>
    </xf>
    <xf numFmtId="15" fontId="13" fillId="0" borderId="27" xfId="15" quotePrefix="1" applyNumberFormat="1" applyFont="1" applyBorder="1" applyAlignment="1">
      <alignment horizontal="center" wrapText="1"/>
    </xf>
    <xf numFmtId="44" fontId="33" fillId="0" borderId="24" xfId="2" applyFont="1" applyFill="1" applyBorder="1" applyAlignment="1">
      <alignment horizontal="center" wrapText="1"/>
    </xf>
    <xf numFmtId="0" fontId="13" fillId="0" borderId="27" xfId="15" quotePrefix="1" applyFont="1" applyBorder="1" applyAlignment="1">
      <alignment horizontal="center" wrapText="1"/>
    </xf>
    <xf numFmtId="0" fontId="33" fillId="0" borderId="24" xfId="15" applyFont="1" applyBorder="1" applyAlignment="1">
      <alignment horizontal="center" wrapText="1"/>
    </xf>
    <xf numFmtId="0" fontId="33" fillId="0" borderId="0" xfId="15" applyFont="1" applyAlignment="1">
      <alignment horizontal="center" wrapText="1"/>
    </xf>
    <xf numFmtId="0" fontId="33" fillId="4" borderId="24" xfId="15" applyFont="1" applyFill="1" applyBorder="1" applyAlignment="1">
      <alignment horizontal="center" wrapText="1"/>
    </xf>
    <xf numFmtId="0" fontId="13" fillId="0" borderId="0" xfId="15" applyFont="1" applyAlignment="1">
      <alignment horizontal="center" wrapText="1"/>
    </xf>
    <xf numFmtId="44" fontId="13" fillId="16" borderId="24" xfId="2" applyFont="1" applyFill="1" applyBorder="1" applyAlignment="1">
      <alignment horizontal="center" wrapText="1"/>
    </xf>
    <xf numFmtId="44" fontId="32" fillId="7" borderId="0" xfId="2" applyFont="1" applyFill="1" applyBorder="1" applyAlignment="1">
      <alignment horizontal="center" wrapText="1"/>
    </xf>
    <xf numFmtId="15" fontId="13" fillId="0" borderId="10" xfId="15" quotePrefix="1" applyNumberFormat="1" applyFont="1" applyBorder="1" applyAlignment="1">
      <alignment horizontal="center" wrapText="1"/>
    </xf>
    <xf numFmtId="44" fontId="33" fillId="0" borderId="11" xfId="2" applyFont="1" applyFill="1" applyBorder="1" applyAlignment="1">
      <alignment horizontal="center" wrapText="1"/>
    </xf>
    <xf numFmtId="0" fontId="13" fillId="0" borderId="10" xfId="15" quotePrefix="1" applyFont="1" applyBorder="1" applyAlignment="1">
      <alignment horizontal="center" wrapText="1"/>
    </xf>
    <xf numFmtId="0" fontId="33" fillId="0" borderId="11" xfId="15" applyFont="1" applyBorder="1" applyAlignment="1">
      <alignment horizontal="center" wrapText="1"/>
    </xf>
    <xf numFmtId="0" fontId="33" fillId="0" borderId="8" xfId="15" applyFont="1" applyBorder="1" applyAlignment="1">
      <alignment horizontal="center" wrapText="1"/>
    </xf>
    <xf numFmtId="0" fontId="33" fillId="4" borderId="11" xfId="15" applyFont="1" applyFill="1" applyBorder="1" applyAlignment="1">
      <alignment horizontal="center" wrapText="1"/>
    </xf>
    <xf numFmtId="0" fontId="13" fillId="0" borderId="8" xfId="15" applyFont="1" applyBorder="1" applyAlignment="1">
      <alignment horizontal="center" wrapText="1"/>
    </xf>
    <xf numFmtId="44" fontId="13" fillId="16" borderId="11" xfId="2" applyFont="1" applyFill="1" applyBorder="1" applyAlignment="1">
      <alignment horizontal="center" wrapText="1"/>
    </xf>
    <xf numFmtId="44" fontId="32" fillId="7" borderId="8" xfId="2" applyFont="1" applyFill="1" applyBorder="1" applyAlignment="1">
      <alignment horizontal="center" wrapText="1"/>
    </xf>
    <xf numFmtId="15" fontId="13" fillId="0" borderId="8" xfId="8" applyNumberFormat="1" applyBorder="1" applyAlignment="1">
      <alignment vertical="center" wrapText="1"/>
    </xf>
    <xf numFmtId="0" fontId="13" fillId="0" borderId="8" xfId="8" applyBorder="1" applyAlignment="1">
      <alignment vertical="center" wrapText="1"/>
    </xf>
    <xf numFmtId="3" fontId="13" fillId="0" borderId="8" xfId="8" applyNumberFormat="1" applyBorder="1" applyAlignment="1">
      <alignment vertical="center" wrapText="1"/>
    </xf>
    <xf numFmtId="44" fontId="32" fillId="7" borderId="11" xfId="2" applyFont="1" applyFill="1" applyBorder="1" applyAlignment="1">
      <alignment horizontal="center" wrapText="1"/>
    </xf>
    <xf numFmtId="0" fontId="115" fillId="0" borderId="8" xfId="15" applyFont="1" applyBorder="1" applyAlignment="1">
      <alignment horizontal="center" wrapText="1"/>
    </xf>
    <xf numFmtId="0" fontId="115" fillId="0" borderId="0" xfId="15" applyFont="1" applyAlignment="1">
      <alignment horizontal="center" wrapText="1"/>
    </xf>
    <xf numFmtId="15" fontId="13" fillId="0" borderId="3" xfId="8" applyNumberFormat="1" applyBorder="1" applyAlignment="1">
      <alignment vertical="center" wrapText="1"/>
    </xf>
    <xf numFmtId="0" fontId="13" fillId="0" borderId="3" xfId="8" applyBorder="1" applyAlignment="1">
      <alignment vertical="center" wrapText="1"/>
    </xf>
    <xf numFmtId="3" fontId="13" fillId="0" borderId="3" xfId="8" applyNumberFormat="1" applyBorder="1" applyAlignment="1">
      <alignment vertical="center" wrapText="1"/>
    </xf>
    <xf numFmtId="15" fontId="13" fillId="0" borderId="38" xfId="15" quotePrefix="1" applyNumberFormat="1" applyFont="1" applyBorder="1" applyAlignment="1">
      <alignment horizontal="center" wrapText="1"/>
    </xf>
    <xf numFmtId="44" fontId="33" fillId="0" borderId="37" xfId="2" applyFont="1" applyFill="1" applyBorder="1" applyAlignment="1">
      <alignment horizontal="center" wrapText="1"/>
    </xf>
    <xf numFmtId="0" fontId="13" fillId="0" borderId="38" xfId="15" quotePrefix="1" applyFont="1" applyBorder="1" applyAlignment="1">
      <alignment horizontal="center" wrapText="1"/>
    </xf>
    <xf numFmtId="0" fontId="33" fillId="0" borderId="37" xfId="15" applyFont="1" applyBorder="1" applyAlignment="1">
      <alignment horizontal="center" wrapText="1"/>
    </xf>
    <xf numFmtId="0" fontId="33" fillId="0" borderId="3" xfId="15" applyFont="1" applyBorder="1" applyAlignment="1">
      <alignment horizontal="center" wrapText="1"/>
    </xf>
    <xf numFmtId="0" fontId="33" fillId="4" borderId="37" xfId="15" applyFont="1" applyFill="1" applyBorder="1" applyAlignment="1">
      <alignment horizontal="center" wrapText="1"/>
    </xf>
    <xf numFmtId="0" fontId="13" fillId="0" borderId="3" xfId="15" applyFont="1" applyBorder="1" applyAlignment="1">
      <alignment horizontal="center" wrapText="1"/>
    </xf>
    <xf numFmtId="44" fontId="13" fillId="16" borderId="37" xfId="2" applyFont="1" applyFill="1" applyBorder="1" applyAlignment="1">
      <alignment horizontal="center" wrapText="1"/>
    </xf>
    <xf numFmtId="44" fontId="32" fillId="7" borderId="3" xfId="2" applyFont="1" applyFill="1" applyBorder="1" applyAlignment="1">
      <alignment horizontal="center" wrapText="1"/>
    </xf>
    <xf numFmtId="0" fontId="115" fillId="0" borderId="3" xfId="15" applyFont="1" applyBorder="1" applyAlignment="1">
      <alignment horizontal="center" wrapText="1"/>
    </xf>
    <xf numFmtId="0" fontId="115" fillId="16" borderId="24" xfId="15" applyFont="1" applyFill="1" applyBorder="1" applyAlignment="1">
      <alignment horizontal="center" wrapText="1"/>
    </xf>
    <xf numFmtId="0" fontId="116" fillId="7" borderId="0" xfId="15" applyFont="1" applyFill="1" applyAlignment="1">
      <alignment horizontal="center" wrapText="1"/>
    </xf>
    <xf numFmtId="15" fontId="13" fillId="17" borderId="0" xfId="8" applyNumberFormat="1" applyFill="1" applyAlignment="1">
      <alignment vertical="center" wrapText="1"/>
    </xf>
    <xf numFmtId="0" fontId="13" fillId="17" borderId="0" xfId="8" applyFill="1" applyAlignment="1">
      <alignment vertical="center" wrapText="1"/>
    </xf>
    <xf numFmtId="3" fontId="13" fillId="17" borderId="0" xfId="8" applyNumberFormat="1" applyFill="1" applyAlignment="1">
      <alignment vertical="center" wrapText="1"/>
    </xf>
    <xf numFmtId="0" fontId="115" fillId="17" borderId="27" xfId="15" quotePrefix="1" applyFont="1" applyFill="1" applyBorder="1" applyAlignment="1">
      <alignment horizontal="center" wrapText="1"/>
    </xf>
    <xf numFmtId="0" fontId="15" fillId="17" borderId="24" xfId="15" applyFont="1" applyFill="1" applyBorder="1" applyAlignment="1">
      <alignment horizontal="center" wrapText="1"/>
    </xf>
    <xf numFmtId="0" fontId="15" fillId="17" borderId="0" xfId="15" applyFont="1" applyFill="1" applyAlignment="1">
      <alignment horizontal="center" wrapText="1"/>
    </xf>
    <xf numFmtId="0" fontId="115" fillId="17" borderId="0" xfId="15" applyFont="1" applyFill="1" applyAlignment="1">
      <alignment horizontal="center" wrapText="1"/>
    </xf>
    <xf numFmtId="0" fontId="115" fillId="17" borderId="24" xfId="15" applyFont="1" applyFill="1" applyBorder="1" applyAlignment="1">
      <alignment horizontal="center" wrapText="1"/>
    </xf>
    <xf numFmtId="0" fontId="116" fillId="7" borderId="24" xfId="15" applyFont="1" applyFill="1" applyBorder="1" applyAlignment="1">
      <alignment horizontal="center" wrapText="1"/>
    </xf>
    <xf numFmtId="15" fontId="120" fillId="0" borderId="0" xfId="8" applyNumberFormat="1" applyFont="1" applyAlignment="1">
      <alignment vertical="center"/>
    </xf>
    <xf numFmtId="166" fontId="46" fillId="16" borderId="0" xfId="1" applyNumberFormat="1" applyFont="1" applyFill="1" applyBorder="1"/>
    <xf numFmtId="166" fontId="13" fillId="16" borderId="0" xfId="1" applyNumberFormat="1" applyFont="1" applyFill="1" applyBorder="1" applyAlignment="1">
      <alignment vertical="center" wrapText="1"/>
    </xf>
    <xf numFmtId="166" fontId="53" fillId="16" borderId="0" xfId="1" applyNumberFormat="1" applyFont="1" applyFill="1" applyBorder="1" applyAlignment="1">
      <alignment horizontal="center" wrapText="1"/>
    </xf>
    <xf numFmtId="166" fontId="13" fillId="16" borderId="0" xfId="1" applyNumberFormat="1" applyFont="1" applyFill="1" applyBorder="1" applyAlignment="1">
      <alignment horizontal="center" wrapText="1"/>
    </xf>
    <xf numFmtId="0" fontId="27" fillId="0" borderId="3" xfId="15" applyFont="1" applyBorder="1" applyAlignment="1">
      <alignment horizontal="center" wrapText="1"/>
    </xf>
    <xf numFmtId="0" fontId="117" fillId="0" borderId="38" xfId="15" quotePrefix="1" applyFont="1" applyBorder="1" applyAlignment="1">
      <alignment horizontal="center" wrapText="1"/>
    </xf>
    <xf numFmtId="0" fontId="118" fillId="4" borderId="37" xfId="15" applyFont="1" applyFill="1" applyBorder="1" applyAlignment="1">
      <alignment horizontal="center" wrapText="1"/>
    </xf>
    <xf numFmtId="0" fontId="118" fillId="0" borderId="37" xfId="15" applyFont="1" applyBorder="1" applyAlignment="1">
      <alignment horizontal="center" wrapText="1"/>
    </xf>
    <xf numFmtId="0" fontId="118" fillId="0" borderId="3" xfId="15" applyFont="1" applyBorder="1" applyAlignment="1">
      <alignment horizontal="center" wrapText="1"/>
    </xf>
    <xf numFmtId="0" fontId="27" fillId="0" borderId="38" xfId="15" quotePrefix="1" applyFont="1" applyBorder="1" applyAlignment="1">
      <alignment horizontal="center" wrapText="1"/>
    </xf>
    <xf numFmtId="0" fontId="27" fillId="16" borderId="37" xfId="15" applyFont="1" applyFill="1" applyBorder="1" applyAlignment="1">
      <alignment horizontal="center" wrapText="1"/>
    </xf>
    <xf numFmtId="0" fontId="119" fillId="7" borderId="37" xfId="15" applyFont="1" applyFill="1" applyBorder="1" applyAlignment="1">
      <alignment horizontal="center" wrapText="1"/>
    </xf>
    <xf numFmtId="0" fontId="13" fillId="0" borderId="0" xfId="15" applyFont="1" applyAlignment="1">
      <alignment horizontal="center"/>
    </xf>
    <xf numFmtId="0" fontId="13" fillId="0" borderId="0" xfId="15" applyFont="1"/>
    <xf numFmtId="166" fontId="13" fillId="0" borderId="0" xfId="1" applyNumberFormat="1" applyFont="1" applyFill="1" applyBorder="1"/>
    <xf numFmtId="0" fontId="4" fillId="0" borderId="0" xfId="0" applyFont="1" applyAlignment="1">
      <alignment horizontal="left" vertical="top" wrapText="1"/>
    </xf>
    <xf numFmtId="0" fontId="110" fillId="19" borderId="0" xfId="0" applyFont="1" applyFill="1" applyAlignment="1">
      <alignment horizontal="left" vertical="center"/>
    </xf>
    <xf numFmtId="166" fontId="23" fillId="0" borderId="0" xfId="4" applyNumberFormat="1"/>
    <xf numFmtId="0" fontId="61" fillId="7" borderId="8" xfId="15" applyFont="1" applyFill="1" applyBorder="1" applyAlignment="1">
      <alignment horizontal="center" wrapText="1"/>
    </xf>
    <xf numFmtId="44" fontId="33" fillId="4" borderId="11" xfId="2" applyFont="1" applyFill="1" applyBorder="1" applyAlignment="1">
      <alignment horizontal="center" wrapText="1"/>
    </xf>
    <xf numFmtId="44" fontId="17" fillId="20" borderId="7" xfId="2" applyFont="1" applyFill="1" applyBorder="1" applyAlignment="1" applyProtection="1">
      <alignment horizontal="center"/>
      <protection locked="0"/>
    </xf>
    <xf numFmtId="166" fontId="107" fillId="0" borderId="3" xfId="1" applyNumberFormat="1" applyFont="1" applyFill="1" applyBorder="1"/>
    <xf numFmtId="43" fontId="24" fillId="0" borderId="0" xfId="8" applyNumberFormat="1" applyFont="1"/>
    <xf numFmtId="10" fontId="24" fillId="0" borderId="0" xfId="3" applyNumberFormat="1" applyFont="1"/>
    <xf numFmtId="176" fontId="67" fillId="0" borderId="0" xfId="0" applyNumberFormat="1" applyFont="1" applyAlignment="1">
      <alignment horizontal="right" vertical="top"/>
    </xf>
    <xf numFmtId="0" fontId="4" fillId="0" borderId="3" xfId="0" applyFont="1" applyBorder="1" applyAlignment="1">
      <alignment horizontal="left" vertical="top" wrapText="1"/>
    </xf>
    <xf numFmtId="176" fontId="67" fillId="0" borderId="3" xfId="0" applyNumberFormat="1" applyFont="1" applyBorder="1" applyAlignment="1">
      <alignment horizontal="right" vertical="top"/>
    </xf>
    <xf numFmtId="0" fontId="3" fillId="0" borderId="0" xfId="0" applyFont="1" applyAlignment="1">
      <alignment horizontal="left" vertical="top" wrapText="1"/>
    </xf>
    <xf numFmtId="0" fontId="3" fillId="0" borderId="3" xfId="0" applyFont="1" applyBorder="1" applyAlignment="1">
      <alignment horizontal="left" vertical="top" wrapText="1"/>
    </xf>
    <xf numFmtId="15" fontId="62" fillId="0" borderId="10" xfId="15" quotePrefix="1" applyNumberFormat="1" applyFont="1" applyBorder="1" applyAlignment="1">
      <alignment horizontal="center" wrapText="1"/>
    </xf>
    <xf numFmtId="44" fontId="122" fillId="4" borderId="11" xfId="15" applyNumberFormat="1" applyFont="1" applyFill="1" applyBorder="1" applyAlignment="1">
      <alignment horizontal="center" wrapText="1"/>
    </xf>
    <xf numFmtId="0" fontId="123" fillId="0" borderId="10" xfId="15" quotePrefix="1" applyFont="1" applyBorder="1" applyAlignment="1">
      <alignment horizontal="center" wrapText="1"/>
    </xf>
    <xf numFmtId="0" fontId="124" fillId="0" borderId="11" xfId="15" applyFont="1" applyBorder="1" applyAlignment="1">
      <alignment horizontal="center" wrapText="1"/>
    </xf>
    <xf numFmtId="0" fontId="124" fillId="0" borderId="8" xfId="15" applyFont="1" applyBorder="1" applyAlignment="1">
      <alignment horizontal="center" wrapText="1"/>
    </xf>
    <xf numFmtId="0" fontId="124" fillId="4" borderId="11" xfId="15" applyFont="1" applyFill="1" applyBorder="1" applyAlignment="1">
      <alignment horizontal="center" wrapText="1"/>
    </xf>
    <xf numFmtId="0" fontId="123" fillId="0" borderId="8" xfId="15" applyFont="1" applyBorder="1" applyAlignment="1">
      <alignment horizontal="center" wrapText="1"/>
    </xf>
    <xf numFmtId="44" fontId="62" fillId="16" borderId="11" xfId="15" applyNumberFormat="1" applyFont="1" applyFill="1" applyBorder="1" applyAlignment="1">
      <alignment horizontal="center" wrapText="1"/>
    </xf>
    <xf numFmtId="44" fontId="63" fillId="7" borderId="11" xfId="15" applyNumberFormat="1" applyFont="1" applyFill="1" applyBorder="1" applyAlignment="1">
      <alignment horizontal="center" wrapText="1"/>
    </xf>
    <xf numFmtId="0" fontId="126" fillId="0" borderId="0" xfId="0" applyFont="1" applyAlignment="1">
      <alignment horizontal="left" vertical="top" wrapText="1"/>
    </xf>
    <xf numFmtId="0" fontId="126" fillId="0" borderId="3" xfId="0" applyFont="1" applyBorder="1" applyAlignment="1">
      <alignment horizontal="left" vertical="top" wrapText="1"/>
    </xf>
    <xf numFmtId="0" fontId="39" fillId="8" borderId="8" xfId="8" applyFont="1" applyFill="1" applyBorder="1" applyAlignment="1">
      <alignment vertical="center" wrapText="1"/>
    </xf>
    <xf numFmtId="0" fontId="7" fillId="10" borderId="49" xfId="0" applyFont="1" applyFill="1" applyBorder="1" applyAlignment="1">
      <alignment horizontal="left" vertical="top"/>
    </xf>
    <xf numFmtId="15" fontId="125" fillId="0" borderId="3" xfId="15" applyNumberFormat="1" applyFont="1" applyBorder="1" applyAlignment="1">
      <alignment horizontal="center" wrapText="1"/>
    </xf>
    <xf numFmtId="0" fontId="125" fillId="0" borderId="3" xfId="15" applyFont="1" applyBorder="1" applyAlignment="1">
      <alignment horizontal="center" wrapText="1"/>
    </xf>
    <xf numFmtId="44" fontId="127" fillId="0" borderId="3" xfId="16" applyFont="1" applyBorder="1" applyAlignment="1">
      <alignment horizontal="center" wrapText="1"/>
    </xf>
    <xf numFmtId="0" fontId="24" fillId="0" borderId="3" xfId="15" applyFont="1" applyBorder="1" applyAlignment="1">
      <alignment horizontal="center" wrapText="1"/>
    </xf>
    <xf numFmtId="166" fontId="125" fillId="0" borderId="3" xfId="17" applyNumberFormat="1" applyFont="1" applyBorder="1" applyAlignment="1">
      <alignment horizontal="center" wrapText="1"/>
    </xf>
    <xf numFmtId="0" fontId="67" fillId="0" borderId="0" xfId="0" applyFont="1" applyAlignment="1">
      <alignment horizontal="left" vertical="top"/>
    </xf>
    <xf numFmtId="0" fontId="128" fillId="0" borderId="0" xfId="6" applyFont="1"/>
    <xf numFmtId="0" fontId="128" fillId="0" borderId="3" xfId="6" applyFont="1" applyBorder="1"/>
    <xf numFmtId="3" fontId="129" fillId="0" borderId="0" xfId="0" applyNumberFormat="1" applyFont="1" applyAlignment="1">
      <alignment horizontal="left" vertical="center"/>
    </xf>
    <xf numFmtId="0" fontId="7" fillId="10" borderId="38" xfId="0" applyFont="1" applyFill="1" applyBorder="1" applyAlignment="1">
      <alignment horizontal="left" vertical="top"/>
    </xf>
    <xf numFmtId="170" fontId="7" fillId="0" borderId="25" xfId="8" applyNumberFormat="1" applyFont="1" applyBorder="1" applyAlignment="1">
      <alignment horizontal="right" vertical="top" wrapText="1"/>
    </xf>
    <xf numFmtId="170" fontId="38" fillId="0" borderId="22" xfId="10" applyNumberFormat="1" applyBorder="1" applyAlignment="1">
      <alignment horizontal="right" vertical="top" wrapText="1"/>
    </xf>
    <xf numFmtId="3" fontId="45" fillId="10" borderId="14" xfId="1" applyNumberFormat="1" applyFont="1" applyFill="1" applyBorder="1" applyAlignment="1">
      <alignment horizontal="right" vertical="top" wrapText="1"/>
    </xf>
    <xf numFmtId="166" fontId="8" fillId="20" borderId="0" xfId="1" applyNumberFormat="1" applyFont="1" applyFill="1"/>
    <xf numFmtId="15" fontId="117" fillId="0" borderId="38" xfId="15" quotePrefix="1" applyNumberFormat="1" applyFont="1" applyBorder="1" applyAlignment="1">
      <alignment horizontal="center" wrapText="1"/>
    </xf>
    <xf numFmtId="15" fontId="114" fillId="0" borderId="38" xfId="15" quotePrefix="1" applyNumberFormat="1" applyFont="1" applyBorder="1" applyAlignment="1">
      <alignment horizontal="center" wrapText="1"/>
    </xf>
    <xf numFmtId="44" fontId="125" fillId="16" borderId="37" xfId="15" applyNumberFormat="1" applyFont="1" applyFill="1" applyBorder="1" applyAlignment="1">
      <alignment horizontal="center" wrapText="1"/>
    </xf>
    <xf numFmtId="44" fontId="87" fillId="7" borderId="37" xfId="15" applyNumberFormat="1" applyFont="1" applyFill="1" applyBorder="1" applyAlignment="1">
      <alignment horizontal="center" wrapText="1"/>
    </xf>
    <xf numFmtId="44" fontId="127" fillId="4" borderId="37" xfId="15" applyNumberFormat="1" applyFont="1" applyFill="1" applyBorder="1" applyAlignment="1">
      <alignment horizontal="center" wrapText="1"/>
    </xf>
    <xf numFmtId="166" fontId="28" fillId="0" borderId="0" xfId="1" applyNumberFormat="1" applyFont="1"/>
    <xf numFmtId="177" fontId="24" fillId="0" borderId="0" xfId="8" applyNumberFormat="1" applyFont="1"/>
    <xf numFmtId="173" fontId="88" fillId="0" borderId="0" xfId="8" applyNumberFormat="1" applyFont="1" applyAlignment="1">
      <alignment horizontal="right" vertical="top"/>
    </xf>
    <xf numFmtId="168" fontId="87" fillId="0" borderId="0" xfId="8" applyNumberFormat="1" applyFont="1" applyAlignment="1">
      <alignment horizontal="left" vertical="center"/>
    </xf>
    <xf numFmtId="0" fontId="87" fillId="0" borderId="0" xfId="8" applyFont="1" applyAlignment="1">
      <alignment horizontal="right" indent="1"/>
    </xf>
    <xf numFmtId="10" fontId="87" fillId="0" borderId="0" xfId="3" applyNumberFormat="1" applyFont="1" applyFill="1" applyAlignment="1">
      <alignment horizontal="left"/>
    </xf>
    <xf numFmtId="0" fontId="129" fillId="0" borderId="0" xfId="0" applyFont="1" applyAlignment="1">
      <alignment horizontal="left" vertical="center"/>
    </xf>
    <xf numFmtId="15" fontId="125" fillId="0" borderId="38" xfId="15" quotePrefix="1" applyNumberFormat="1" applyFont="1" applyBorder="1" applyAlignment="1">
      <alignment horizontal="center" wrapText="1"/>
    </xf>
    <xf numFmtId="0" fontId="125" fillId="0" borderId="38" xfId="15" quotePrefix="1" applyFont="1" applyBorder="1" applyAlignment="1">
      <alignment horizontal="center" wrapText="1"/>
    </xf>
    <xf numFmtId="0" fontId="127" fillId="0" borderId="37" xfId="15" applyFont="1" applyBorder="1" applyAlignment="1">
      <alignment horizontal="center" wrapText="1"/>
    </xf>
    <xf numFmtId="0" fontId="127" fillId="0" borderId="3" xfId="15" applyFont="1" applyBorder="1" applyAlignment="1">
      <alignment horizontal="center" wrapText="1"/>
    </xf>
    <xf numFmtId="0" fontId="127" fillId="4" borderId="37" xfId="15" applyFont="1" applyFill="1" applyBorder="1" applyAlignment="1">
      <alignment horizontal="center" wrapText="1"/>
    </xf>
    <xf numFmtId="166" fontId="125" fillId="16" borderId="0" xfId="1" applyNumberFormat="1" applyFont="1" applyFill="1" applyBorder="1" applyAlignment="1">
      <alignment horizontal="center" wrapText="1"/>
    </xf>
    <xf numFmtId="166" fontId="125" fillId="0" borderId="3" xfId="15" applyNumberFormat="1" applyFont="1" applyBorder="1" applyAlignment="1">
      <alignment horizontal="center" wrapText="1"/>
    </xf>
    <xf numFmtId="166" fontId="125" fillId="16" borderId="8" xfId="1" applyNumberFormat="1" applyFont="1" applyFill="1" applyBorder="1" applyAlignment="1">
      <alignment horizontal="center" wrapText="1"/>
    </xf>
    <xf numFmtId="166" fontId="45" fillId="0" borderId="14" xfId="1" applyNumberFormat="1" applyFont="1" applyFill="1" applyBorder="1" applyAlignment="1">
      <alignment horizontal="right" vertical="top" wrapText="1"/>
    </xf>
    <xf numFmtId="166" fontId="45" fillId="0" borderId="17" xfId="1" applyNumberFormat="1" applyFont="1" applyFill="1" applyBorder="1" applyAlignment="1">
      <alignment horizontal="right" vertical="top" wrapText="1"/>
    </xf>
    <xf numFmtId="0" fontId="67" fillId="0" borderId="8" xfId="0" applyFont="1" applyBorder="1" applyAlignment="1">
      <alignment horizontal="left" vertical="top" wrapText="1"/>
    </xf>
    <xf numFmtId="169" fontId="67" fillId="0" borderId="8" xfId="0" applyNumberFormat="1" applyFont="1" applyBorder="1" applyAlignment="1">
      <alignment horizontal="left" vertical="top"/>
    </xf>
    <xf numFmtId="169" fontId="67" fillId="0" borderId="8" xfId="0" applyNumberFormat="1" applyFont="1" applyBorder="1" applyAlignment="1">
      <alignment horizontal="right" vertical="top"/>
    </xf>
    <xf numFmtId="0" fontId="126" fillId="0" borderId="8" xfId="0" applyFont="1" applyBorder="1" applyAlignment="1">
      <alignment horizontal="left" vertical="top" wrapText="1"/>
    </xf>
    <xf numFmtId="43" fontId="109" fillId="0" borderId="0" xfId="1" applyFont="1" applyAlignment="1">
      <alignment horizontal="left" vertical="center"/>
    </xf>
    <xf numFmtId="44" fontId="109" fillId="0" borderId="0" xfId="2" applyFont="1" applyAlignment="1">
      <alignment horizontal="left" vertical="center"/>
    </xf>
    <xf numFmtId="164" fontId="38" fillId="0" borderId="0" xfId="10" applyNumberFormat="1"/>
    <xf numFmtId="166" fontId="38" fillId="0" borderId="0" xfId="1" applyNumberFormat="1" applyFont="1" applyFill="1"/>
    <xf numFmtId="166" fontId="38" fillId="0" borderId="0" xfId="10" applyNumberFormat="1"/>
    <xf numFmtId="0" fontId="45" fillId="10" borderId="13" xfId="0" applyFont="1" applyFill="1" applyBorder="1" applyAlignment="1">
      <alignment horizontal="left" vertical="top" wrapText="1"/>
    </xf>
    <xf numFmtId="3" fontId="45" fillId="10" borderId="14" xfId="0" applyNumberFormat="1" applyFont="1" applyFill="1" applyBorder="1" applyAlignment="1">
      <alignment horizontal="right" vertical="top" wrapText="1"/>
    </xf>
    <xf numFmtId="15" fontId="2" fillId="0" borderId="3" xfId="15" applyNumberFormat="1" applyFont="1" applyBorder="1" applyAlignment="1">
      <alignment horizontal="center" wrapText="1"/>
    </xf>
    <xf numFmtId="0" fontId="2" fillId="0" borderId="3" xfId="15" applyFont="1" applyBorder="1" applyAlignment="1">
      <alignment horizontal="center" wrapText="1"/>
    </xf>
    <xf numFmtId="166" fontId="125" fillId="16" borderId="3" xfId="1" applyNumberFormat="1" applyFont="1" applyFill="1" applyBorder="1" applyAlignment="1">
      <alignment horizontal="center" wrapText="1"/>
    </xf>
    <xf numFmtId="170" fontId="132" fillId="0" borderId="13" xfId="0" applyNumberFormat="1" applyFont="1" applyBorder="1" applyAlignment="1">
      <alignment horizontal="right" vertical="top" wrapText="1"/>
    </xf>
    <xf numFmtId="0" fontId="7" fillId="0" borderId="13" xfId="8" applyFont="1" applyBorder="1" applyAlignment="1">
      <alignment horizontal="right" vertical="top" wrapText="1"/>
    </xf>
    <xf numFmtId="0" fontId="7" fillId="10" borderId="23" xfId="10" applyFont="1" applyFill="1" applyBorder="1" applyAlignment="1">
      <alignment horizontal="right" vertical="top" wrapText="1"/>
    </xf>
    <xf numFmtId="166" fontId="38" fillId="0" borderId="51" xfId="1" applyNumberFormat="1" applyFont="1" applyBorder="1"/>
    <xf numFmtId="0" fontId="38" fillId="0" borderId="52" xfId="10" applyBorder="1"/>
    <xf numFmtId="0" fontId="38" fillId="0" borderId="53" xfId="10" applyBorder="1"/>
    <xf numFmtId="0" fontId="38" fillId="0" borderId="54" xfId="10" applyBorder="1"/>
    <xf numFmtId="0" fontId="17" fillId="4" borderId="0" xfId="5" applyFont="1" applyFill="1" applyProtection="1">
      <protection locked="0"/>
    </xf>
    <xf numFmtId="165" fontId="17" fillId="4" borderId="0" xfId="2" applyNumberFormat="1" applyFont="1" applyFill="1" applyProtection="1">
      <protection locked="0"/>
    </xf>
    <xf numFmtId="0" fontId="17" fillId="4" borderId="0" xfId="5" applyFont="1" applyFill="1" applyAlignment="1" applyProtection="1">
      <alignment horizontal="center" vertical="center"/>
      <protection locked="0"/>
    </xf>
    <xf numFmtId="0" fontId="134" fillId="0" borderId="0" xfId="6" applyFont="1"/>
    <xf numFmtId="166" fontId="134" fillId="0" borderId="0" xfId="1" applyNumberFormat="1" applyFont="1"/>
    <xf numFmtId="43" fontId="134" fillId="0" borderId="0" xfId="1" applyFont="1"/>
    <xf numFmtId="176" fontId="133" fillId="0" borderId="0" xfId="0" applyNumberFormat="1" applyFont="1" applyAlignment="1">
      <alignment horizontal="right" vertical="top"/>
    </xf>
    <xf numFmtId="0" fontId="134" fillId="0" borderId="3" xfId="6" applyFont="1" applyBorder="1"/>
    <xf numFmtId="166" fontId="134" fillId="0" borderId="3" xfId="1" applyNumberFormat="1" applyFont="1" applyBorder="1"/>
    <xf numFmtId="43" fontId="134" fillId="0" borderId="3" xfId="1" applyFont="1" applyBorder="1"/>
    <xf numFmtId="176" fontId="133" fillId="0" borderId="3" xfId="0" applyNumberFormat="1" applyFont="1" applyBorder="1" applyAlignment="1">
      <alignment horizontal="right" vertical="top"/>
    </xf>
    <xf numFmtId="0" fontId="134" fillId="0" borderId="8" xfId="6" applyFont="1" applyBorder="1"/>
    <xf numFmtId="0" fontId="133" fillId="0" borderId="8" xfId="0" applyFont="1" applyBorder="1" applyAlignment="1">
      <alignment horizontal="right" vertical="top"/>
    </xf>
    <xf numFmtId="43" fontId="134" fillId="0" borderId="8" xfId="1" applyFont="1" applyBorder="1"/>
    <xf numFmtId="176" fontId="133" fillId="0" borderId="8" xfId="0" applyNumberFormat="1" applyFont="1" applyBorder="1" applyAlignment="1">
      <alignment horizontal="right" vertical="top"/>
    </xf>
    <xf numFmtId="0" fontId="67" fillId="0" borderId="48" xfId="0" applyFont="1" applyBorder="1" applyAlignment="1">
      <alignment horizontal="left" vertical="top" wrapText="1"/>
    </xf>
    <xf numFmtId="169" fontId="67" fillId="0" borderId="48" xfId="0" applyNumberFormat="1" applyFont="1" applyBorder="1" applyAlignment="1">
      <alignment horizontal="left" vertical="top"/>
    </xf>
    <xf numFmtId="0" fontId="126" fillId="0" borderId="48" xfId="0" applyFont="1" applyBorder="1" applyAlignment="1">
      <alignment horizontal="right" vertical="top"/>
    </xf>
    <xf numFmtId="0" fontId="126" fillId="0" borderId="48" xfId="0" applyFont="1" applyBorder="1" applyAlignment="1">
      <alignment horizontal="left" vertical="top" wrapText="1"/>
    </xf>
    <xf numFmtId="0" fontId="11" fillId="0" borderId="48" xfId="6" applyBorder="1" applyAlignment="1">
      <alignment horizontal="left" indent="1"/>
    </xf>
    <xf numFmtId="0" fontId="126" fillId="0" borderId="3" xfId="0" applyFont="1" applyBorder="1" applyAlignment="1">
      <alignment horizontal="right" vertical="top"/>
    </xf>
    <xf numFmtId="0" fontId="126" fillId="0" borderId="48" xfId="0" applyFont="1" applyBorder="1" applyAlignment="1">
      <alignment horizontal="left" vertical="top"/>
    </xf>
    <xf numFmtId="0" fontId="126" fillId="0" borderId="3" xfId="0" applyFont="1" applyBorder="1" applyAlignment="1">
      <alignment horizontal="left" vertical="top"/>
    </xf>
    <xf numFmtId="176" fontId="133" fillId="0" borderId="48" xfId="0" applyNumberFormat="1" applyFont="1" applyBorder="1" applyAlignment="1">
      <alignment horizontal="right" vertical="top"/>
    </xf>
    <xf numFmtId="176" fontId="134" fillId="0" borderId="3" xfId="6" applyNumberFormat="1" applyFont="1" applyBorder="1" applyAlignment="1">
      <alignment horizontal="right" indent="1"/>
    </xf>
    <xf numFmtId="169" fontId="67" fillId="0" borderId="48" xfId="0" applyNumberFormat="1" applyFont="1" applyBorder="1" applyAlignment="1">
      <alignment horizontal="right" vertical="top"/>
    </xf>
    <xf numFmtId="0" fontId="0" fillId="8" borderId="10" xfId="0" applyFill="1" applyBorder="1" applyAlignment="1">
      <alignment horizontal="left" vertical="top"/>
    </xf>
    <xf numFmtId="0" fontId="67" fillId="0" borderId="3" xfId="0" applyFont="1" applyBorder="1" applyAlignment="1">
      <alignment horizontal="left" vertical="top"/>
    </xf>
    <xf numFmtId="15" fontId="135" fillId="0" borderId="38" xfId="15" quotePrefix="1" applyNumberFormat="1" applyFont="1" applyBorder="1" applyAlignment="1">
      <alignment horizontal="center" wrapText="1"/>
    </xf>
    <xf numFmtId="44" fontId="136" fillId="7" borderId="37" xfId="15" applyNumberFormat="1" applyFont="1" applyFill="1" applyBorder="1" applyAlignment="1">
      <alignment horizontal="center" wrapText="1"/>
    </xf>
    <xf numFmtId="3" fontId="13" fillId="0" borderId="48" xfId="8" applyNumberFormat="1" applyBorder="1" applyAlignment="1">
      <alignment vertical="center" wrapText="1"/>
    </xf>
    <xf numFmtId="166" fontId="13" fillId="16" borderId="48" xfId="1" applyNumberFormat="1" applyFont="1" applyFill="1" applyBorder="1" applyAlignment="1">
      <alignment vertical="center" wrapText="1"/>
    </xf>
    <xf numFmtId="166" fontId="39" fillId="20" borderId="8" xfId="8" applyNumberFormat="1" applyFont="1" applyFill="1" applyBorder="1"/>
    <xf numFmtId="166" fontId="8" fillId="0" borderId="0" xfId="1" applyNumberFormat="1" applyFont="1" applyFill="1"/>
    <xf numFmtId="166" fontId="46" fillId="0" borderId="34" xfId="1" applyNumberFormat="1" applyFont="1" applyFill="1" applyBorder="1"/>
    <xf numFmtId="166" fontId="0" fillId="0" borderId="34" xfId="12" applyNumberFormat="1" applyFont="1" applyFill="1" applyBorder="1"/>
    <xf numFmtId="166" fontId="0" fillId="0" borderId="0" xfId="12" applyNumberFormat="1" applyFont="1" applyFill="1" applyBorder="1"/>
    <xf numFmtId="0" fontId="24" fillId="0" borderId="0" xfId="8" applyFont="1" applyAlignment="1">
      <alignment horizontal="left" vertical="top" wrapText="1"/>
    </xf>
    <xf numFmtId="178" fontId="13" fillId="0" borderId="0" xfId="8" applyNumberFormat="1"/>
    <xf numFmtId="166" fontId="87" fillId="0" borderId="0" xfId="1" applyNumberFormat="1" applyFont="1" applyBorder="1" applyAlignment="1">
      <alignment horizontal="left" vertical="center"/>
    </xf>
    <xf numFmtId="0" fontId="125" fillId="16" borderId="37" xfId="15" applyFont="1" applyFill="1" applyBorder="1" applyAlignment="1">
      <alignment horizontal="center" wrapText="1"/>
    </xf>
    <xf numFmtId="0" fontId="87" fillId="7" borderId="37" xfId="15" applyFont="1" applyFill="1" applyBorder="1" applyAlignment="1">
      <alignment horizontal="center" wrapText="1"/>
    </xf>
    <xf numFmtId="166" fontId="0" fillId="0" borderId="8" xfId="12" applyNumberFormat="1" applyFont="1" applyFill="1" applyBorder="1"/>
    <xf numFmtId="166" fontId="125" fillId="16" borderId="48" xfId="1" applyNumberFormat="1" applyFont="1" applyFill="1" applyBorder="1" applyAlignment="1">
      <alignment horizontal="center" wrapText="1"/>
    </xf>
    <xf numFmtId="166" fontId="134" fillId="0" borderId="0" xfId="1" applyNumberFormat="1" applyFont="1" applyAlignment="1">
      <alignment horizontal="right"/>
    </xf>
    <xf numFmtId="166" fontId="134" fillId="0" borderId="3" xfId="1" applyNumberFormat="1" applyFont="1" applyBorder="1" applyAlignment="1">
      <alignment horizontal="right"/>
    </xf>
    <xf numFmtId="0" fontId="114" fillId="0" borderId="3" xfId="15" applyFont="1" applyBorder="1" applyAlignment="1">
      <alignment horizontal="center" wrapText="1"/>
    </xf>
    <xf numFmtId="0" fontId="137" fillId="4" borderId="37" xfId="15" applyFont="1" applyFill="1" applyBorder="1" applyAlignment="1">
      <alignment horizontal="center" wrapText="1"/>
    </xf>
    <xf numFmtId="0" fontId="135" fillId="0" borderId="38" xfId="15" quotePrefix="1" applyFont="1" applyBorder="1" applyAlignment="1">
      <alignment horizontal="center" wrapText="1"/>
    </xf>
    <xf numFmtId="0" fontId="137" fillId="0" borderId="37" xfId="15" applyFont="1" applyBorder="1" applyAlignment="1">
      <alignment horizontal="center" wrapText="1"/>
    </xf>
    <xf numFmtId="0" fontId="137" fillId="0" borderId="3" xfId="15" applyFont="1" applyBorder="1" applyAlignment="1">
      <alignment horizontal="center" wrapText="1"/>
    </xf>
    <xf numFmtId="0" fontId="114" fillId="0" borderId="38" xfId="15" quotePrefix="1" applyFont="1" applyBorder="1" applyAlignment="1">
      <alignment horizontal="center" wrapText="1"/>
    </xf>
    <xf numFmtId="0" fontId="114" fillId="16" borderId="37" xfId="15" applyFont="1" applyFill="1" applyBorder="1" applyAlignment="1">
      <alignment horizontal="center" wrapText="1"/>
    </xf>
    <xf numFmtId="0" fontId="138" fillId="7" borderId="37" xfId="15" applyFont="1" applyFill="1" applyBorder="1" applyAlignment="1">
      <alignment horizontal="center" wrapText="1"/>
    </xf>
    <xf numFmtId="166" fontId="105" fillId="0" borderId="0" xfId="1" applyNumberFormat="1" applyFont="1" applyFill="1" applyProtection="1">
      <protection locked="0"/>
    </xf>
    <xf numFmtId="167" fontId="105" fillId="0" borderId="0" xfId="3" applyNumberFormat="1" applyFont="1" applyFill="1" applyProtection="1">
      <protection locked="0"/>
    </xf>
    <xf numFmtId="0" fontId="107" fillId="0" borderId="0" xfId="0" applyFont="1"/>
    <xf numFmtId="170" fontId="38" fillId="0" borderId="0" xfId="10" applyNumberFormat="1"/>
    <xf numFmtId="44" fontId="135" fillId="16" borderId="37" xfId="15" applyNumberFormat="1" applyFont="1" applyFill="1" applyBorder="1" applyAlignment="1">
      <alignment horizontal="center" wrapText="1"/>
    </xf>
    <xf numFmtId="0" fontId="7" fillId="0" borderId="13" xfId="10" applyFont="1" applyBorder="1" applyAlignment="1">
      <alignment horizontal="right" vertical="top" wrapText="1"/>
    </xf>
    <xf numFmtId="170" fontId="7" fillId="0" borderId="21" xfId="10" applyNumberFormat="1" applyFont="1" applyBorder="1" applyAlignment="1">
      <alignment horizontal="right" vertical="top" wrapText="1"/>
    </xf>
    <xf numFmtId="0" fontId="7" fillId="10" borderId="13" xfId="0" applyFont="1" applyFill="1" applyBorder="1" applyAlignment="1">
      <alignment horizontal="right" vertical="top" wrapText="1"/>
    </xf>
    <xf numFmtId="0" fontId="38" fillId="10" borderId="12" xfId="0" applyFont="1" applyFill="1" applyBorder="1" applyAlignment="1">
      <alignment horizontal="left" vertical="top"/>
    </xf>
    <xf numFmtId="43" fontId="38" fillId="0" borderId="0" xfId="1" applyFont="1"/>
    <xf numFmtId="0" fontId="67" fillId="0" borderId="8" xfId="0" applyFont="1" applyBorder="1" applyAlignment="1">
      <alignment horizontal="right" vertical="top"/>
    </xf>
    <xf numFmtId="166" fontId="134" fillId="0" borderId="8" xfId="1" applyNumberFormat="1" applyFont="1" applyBorder="1" applyAlignment="1">
      <alignment horizontal="right"/>
    </xf>
    <xf numFmtId="176" fontId="11" fillId="0" borderId="8" xfId="6" applyNumberFormat="1" applyBorder="1" applyAlignment="1">
      <alignment horizontal="right" indent="1"/>
    </xf>
    <xf numFmtId="0" fontId="0" fillId="4" borderId="0" xfId="0" applyFill="1"/>
    <xf numFmtId="0" fontId="0" fillId="0" borderId="0" xfId="0" applyAlignment="1">
      <alignment wrapText="1"/>
    </xf>
    <xf numFmtId="0" fontId="0" fillId="0" borderId="0" xfId="0" applyAlignment="1">
      <alignment horizontal="left"/>
    </xf>
    <xf numFmtId="3" fontId="0" fillId="0" borderId="0" xfId="0" applyNumberFormat="1"/>
    <xf numFmtId="0" fontId="0" fillId="4" borderId="0" xfId="0" applyFill="1" applyAlignment="1">
      <alignment horizontal="left"/>
    </xf>
    <xf numFmtId="3" fontId="0" fillId="4" borderId="0" xfId="0" applyNumberFormat="1" applyFill="1"/>
    <xf numFmtId="0" fontId="0" fillId="0" borderId="0" xfId="0" pivotButton="1"/>
    <xf numFmtId="166" fontId="8" fillId="4" borderId="0" xfId="1" applyNumberFormat="1" applyFont="1" applyFill="1"/>
    <xf numFmtId="0" fontId="27" fillId="0" borderId="0" xfId="15" applyFont="1" applyAlignment="1">
      <alignment horizontal="center" wrapText="1"/>
    </xf>
    <xf numFmtId="0" fontId="139" fillId="0" borderId="0" xfId="15" applyFont="1" applyAlignment="1">
      <alignment horizontal="center" wrapText="1"/>
    </xf>
    <xf numFmtId="0" fontId="139" fillId="0" borderId="48" xfId="15" applyFont="1" applyBorder="1" applyAlignment="1">
      <alignment horizontal="center" wrapText="1"/>
    </xf>
    <xf numFmtId="0" fontId="114" fillId="0" borderId="38" xfId="15" applyFont="1" applyBorder="1" applyAlignment="1">
      <alignment horizontal="center" wrapText="1"/>
    </xf>
    <xf numFmtId="44" fontId="137" fillId="0" borderId="3" xfId="16" applyFont="1" applyBorder="1" applyAlignment="1">
      <alignment horizontal="center" wrapText="1"/>
    </xf>
    <xf numFmtId="0" fontId="20" fillId="0" borderId="3" xfId="15" applyFont="1" applyBorder="1" applyAlignment="1">
      <alignment horizontal="center" wrapText="1"/>
    </xf>
    <xf numFmtId="166" fontId="114" fillId="0" borderId="3" xfId="17" applyNumberFormat="1" applyFont="1" applyBorder="1" applyAlignment="1">
      <alignment horizontal="center" wrapText="1"/>
    </xf>
    <xf numFmtId="0" fontId="140" fillId="13" borderId="34" xfId="11" applyFont="1" applyFill="1" applyBorder="1"/>
    <xf numFmtId="170" fontId="7" fillId="10" borderId="55" xfId="0" applyNumberFormat="1" applyFont="1" applyFill="1" applyBorder="1" applyAlignment="1">
      <alignment horizontal="right" vertical="top" wrapText="1"/>
    </xf>
    <xf numFmtId="0" fontId="0" fillId="21" borderId="0" xfId="0" applyFill="1"/>
    <xf numFmtId="44" fontId="137" fillId="4" borderId="37" xfId="15" applyNumberFormat="1" applyFont="1" applyFill="1" applyBorder="1" applyAlignment="1">
      <alignment horizontal="center" wrapText="1"/>
    </xf>
    <xf numFmtId="44" fontId="114" fillId="16" borderId="37" xfId="15" applyNumberFormat="1" applyFont="1" applyFill="1" applyBorder="1" applyAlignment="1">
      <alignment horizontal="center" wrapText="1"/>
    </xf>
    <xf numFmtId="44" fontId="138" fillId="7" borderId="37" xfId="15" applyNumberFormat="1" applyFont="1" applyFill="1" applyBorder="1" applyAlignment="1">
      <alignment horizontal="center" wrapText="1"/>
    </xf>
    <xf numFmtId="170" fontId="0" fillId="10" borderId="55" xfId="0" applyNumberFormat="1" applyFill="1" applyBorder="1" applyAlignment="1">
      <alignment horizontal="right" vertical="top" wrapText="1"/>
    </xf>
    <xf numFmtId="166" fontId="11" fillId="0" borderId="8" xfId="6" applyNumberFormat="1" applyBorder="1" applyAlignment="1">
      <alignment horizontal="left" indent="1"/>
    </xf>
    <xf numFmtId="3" fontId="25" fillId="22" borderId="56" xfId="0" applyNumberFormat="1" applyFont="1" applyFill="1" applyBorder="1"/>
    <xf numFmtId="0" fontId="25" fillId="22" borderId="56" xfId="0" applyFont="1" applyFill="1" applyBorder="1" applyAlignment="1">
      <alignment horizontal="left"/>
    </xf>
    <xf numFmtId="3" fontId="5" fillId="0" borderId="0" xfId="0" applyNumberFormat="1" applyFont="1"/>
    <xf numFmtId="0" fontId="5" fillId="0" borderId="0" xfId="0" applyFont="1"/>
    <xf numFmtId="3" fontId="120" fillId="22" borderId="56" xfId="0" applyNumberFormat="1" applyFont="1" applyFill="1" applyBorder="1"/>
    <xf numFmtId="0" fontId="0" fillId="20" borderId="0" xfId="0" applyFill="1"/>
    <xf numFmtId="15" fontId="114" fillId="0" borderId="3" xfId="15" applyNumberFormat="1" applyFont="1" applyBorder="1" applyAlignment="1">
      <alignment horizontal="center" wrapText="1"/>
    </xf>
    <xf numFmtId="166" fontId="114" fillId="16" borderId="3" xfId="1" applyNumberFormat="1" applyFont="1" applyFill="1" applyBorder="1" applyAlignment="1">
      <alignment horizontal="center" wrapText="1"/>
    </xf>
    <xf numFmtId="166" fontId="17" fillId="0" borderId="0" xfId="1" applyNumberFormat="1" applyFont="1" applyFill="1" applyProtection="1">
      <protection locked="0"/>
    </xf>
    <xf numFmtId="166" fontId="105" fillId="0" borderId="0" xfId="1" applyNumberFormat="1" applyFont="1" applyProtection="1">
      <protection locked="0"/>
    </xf>
    <xf numFmtId="167" fontId="105" fillId="0" borderId="0" xfId="3" applyNumberFormat="1" applyFont="1" applyProtection="1">
      <protection locked="0"/>
    </xf>
    <xf numFmtId="10" fontId="19" fillId="0" borderId="8" xfId="3" applyNumberFormat="1" applyFont="1" applyBorder="1" applyProtection="1">
      <protection locked="0"/>
    </xf>
    <xf numFmtId="0" fontId="141" fillId="5" borderId="57" xfId="5" applyFont="1" applyFill="1" applyBorder="1" applyAlignment="1" applyProtection="1">
      <alignment horizontal="left" wrapText="1" readingOrder="1"/>
      <protection locked="0"/>
    </xf>
    <xf numFmtId="0" fontId="141" fillId="5" borderId="58" xfId="5" applyFont="1" applyFill="1" applyBorder="1" applyAlignment="1" applyProtection="1">
      <alignment horizontal="left" wrapText="1" readingOrder="1"/>
      <protection locked="0"/>
    </xf>
    <xf numFmtId="166" fontId="141" fillId="5" borderId="58" xfId="1" applyNumberFormat="1" applyFont="1" applyFill="1" applyBorder="1" applyAlignment="1" applyProtection="1">
      <alignment horizontal="center" wrapText="1" readingOrder="1"/>
      <protection locked="0"/>
    </xf>
    <xf numFmtId="167" fontId="141" fillId="5" borderId="58" xfId="3" applyNumberFormat="1" applyFont="1" applyFill="1" applyBorder="1" applyAlignment="1" applyProtection="1">
      <alignment horizontal="right" wrapText="1" readingOrder="1"/>
      <protection locked="0"/>
    </xf>
    <xf numFmtId="10" fontId="141" fillId="5" borderId="58" xfId="3" applyNumberFormat="1" applyFont="1" applyFill="1" applyBorder="1" applyAlignment="1" applyProtection="1">
      <alignment horizontal="right" wrapText="1" readingOrder="1"/>
      <protection locked="0"/>
    </xf>
    <xf numFmtId="0" fontId="142" fillId="2" borderId="4" xfId="5" applyFont="1" applyFill="1" applyBorder="1" applyAlignment="1" applyProtection="1">
      <alignment wrapText="1" readingOrder="1"/>
      <protection locked="0"/>
    </xf>
    <xf numFmtId="166" fontId="143" fillId="0" borderId="0" xfId="5" applyNumberFormat="1" applyFont="1" applyProtection="1">
      <protection locked="0"/>
    </xf>
    <xf numFmtId="10" fontId="17" fillId="0" borderId="0" xfId="5" applyNumberFormat="1" applyFont="1" applyProtection="1">
      <protection locked="0"/>
    </xf>
    <xf numFmtId="0" fontId="14" fillId="3" borderId="59" xfId="5" applyFont="1" applyFill="1" applyBorder="1" applyAlignment="1" applyProtection="1">
      <alignment horizontal="left" wrapText="1" indent="1" readingOrder="1"/>
      <protection locked="0"/>
    </xf>
    <xf numFmtId="0" fontId="144" fillId="3" borderId="59" xfId="5" applyFont="1" applyFill="1" applyBorder="1" applyAlignment="1" applyProtection="1">
      <alignment horizontal="left" wrapText="1" readingOrder="1"/>
      <protection locked="0"/>
    </xf>
    <xf numFmtId="0" fontId="142" fillId="3" borderId="59" xfId="5" applyFont="1" applyFill="1" applyBorder="1" applyAlignment="1" applyProtection="1">
      <alignment horizontal="center" wrapText="1" readingOrder="1"/>
      <protection locked="0"/>
    </xf>
    <xf numFmtId="0" fontId="16" fillId="0" borderId="0" xfId="5" applyFont="1" applyAlignment="1" applyProtection="1">
      <alignment horizontal="right" wrapText="1"/>
      <protection locked="0"/>
    </xf>
    <xf numFmtId="166" fontId="22" fillId="7" borderId="59" xfId="1" applyNumberFormat="1" applyFont="1" applyFill="1" applyBorder="1" applyAlignment="1" applyProtection="1">
      <alignment horizontal="center" wrapText="1" readingOrder="1"/>
      <protection locked="0"/>
    </xf>
    <xf numFmtId="10" fontId="8" fillId="0" borderId="0" xfId="3" applyNumberFormat="1" applyFont="1" applyProtection="1">
      <protection locked="0"/>
    </xf>
    <xf numFmtId="10" fontId="145" fillId="0" borderId="0" xfId="3" applyNumberFormat="1" applyFont="1" applyAlignment="1" applyProtection="1">
      <protection locked="0"/>
    </xf>
    <xf numFmtId="43" fontId="17" fillId="0" borderId="0" xfId="1" applyFont="1" applyAlignment="1" applyProtection="1">
      <alignment horizontal="left" indent="2"/>
      <protection locked="0"/>
    </xf>
    <xf numFmtId="10" fontId="146" fillId="0" borderId="0" xfId="4" applyNumberFormat="1" applyFont="1" applyAlignment="1" applyProtection="1">
      <protection locked="0"/>
    </xf>
    <xf numFmtId="0" fontId="24" fillId="0" borderId="0" xfId="5" applyFont="1" applyAlignment="1" applyProtection="1">
      <alignment horizontal="left" indent="2"/>
      <protection locked="0"/>
    </xf>
    <xf numFmtId="166" fontId="147" fillId="7" borderId="59" xfId="1" applyNumberFormat="1" applyFont="1" applyFill="1" applyBorder="1" applyAlignment="1" applyProtection="1">
      <alignment horizontal="center" wrapText="1" readingOrder="1"/>
      <protection locked="0"/>
    </xf>
    <xf numFmtId="44" fontId="145" fillId="0" borderId="0" xfId="2" applyFont="1" applyAlignment="1" applyProtection="1">
      <protection locked="0"/>
    </xf>
    <xf numFmtId="0" fontId="25" fillId="7" borderId="60" xfId="7" applyFill="1" applyBorder="1" applyProtection="1">
      <protection locked="0"/>
    </xf>
    <xf numFmtId="3" fontId="25" fillId="7" borderId="60" xfId="7" applyNumberFormat="1" applyFill="1" applyBorder="1" applyProtection="1">
      <protection locked="0"/>
    </xf>
    <xf numFmtId="10" fontId="8" fillId="0" borderId="8" xfId="3" applyNumberFormat="1" applyFont="1" applyBorder="1" applyProtection="1">
      <protection locked="0"/>
    </xf>
    <xf numFmtId="3" fontId="148" fillId="0" borderId="0" xfId="5" applyNumberFormat="1" applyFont="1" applyProtection="1">
      <protection locked="0"/>
    </xf>
    <xf numFmtId="10" fontId="149" fillId="0" borderId="0" xfId="3" applyNumberFormat="1" applyFont="1" applyProtection="1">
      <protection locked="0"/>
    </xf>
    <xf numFmtId="166" fontId="143" fillId="0" borderId="0" xfId="1" applyNumberFormat="1" applyFont="1" applyAlignment="1" applyProtection="1">
      <alignment vertical="top" wrapText="1"/>
      <protection locked="0"/>
    </xf>
    <xf numFmtId="0" fontId="26" fillId="0" borderId="0" xfId="5" applyFont="1" applyProtection="1">
      <protection locked="0"/>
    </xf>
    <xf numFmtId="3" fontId="27" fillId="0" borderId="0" xfId="5" applyNumberFormat="1" applyFont="1" applyAlignment="1" applyProtection="1">
      <alignment horizontal="center" wrapText="1"/>
      <protection locked="0"/>
    </xf>
    <xf numFmtId="0" fontId="27" fillId="0" borderId="0" xfId="5" applyFont="1" applyAlignment="1" applyProtection="1">
      <alignment horizontal="center" wrapText="1"/>
      <protection locked="0"/>
    </xf>
    <xf numFmtId="14" fontId="150" fillId="0" borderId="0" xfId="5" applyNumberFormat="1" applyFont="1" applyAlignment="1" applyProtection="1">
      <alignment horizontal="center" wrapText="1"/>
      <protection locked="0"/>
    </xf>
    <xf numFmtId="10" fontId="17" fillId="0" borderId="0" xfId="3" applyNumberFormat="1" applyFont="1" applyProtection="1">
      <protection locked="0"/>
    </xf>
    <xf numFmtId="0" fontId="22" fillId="0" borderId="0" xfId="5" applyFont="1" applyAlignment="1" applyProtection="1">
      <alignment horizontal="right"/>
      <protection locked="0"/>
    </xf>
    <xf numFmtId="14" fontId="22" fillId="20" borderId="0" xfId="5" applyNumberFormat="1" applyFont="1" applyFill="1" applyAlignment="1" applyProtection="1">
      <alignment horizontal="left" indent="1"/>
      <protection locked="0"/>
    </xf>
    <xf numFmtId="166" fontId="8" fillId="0" borderId="0" xfId="1" applyNumberFormat="1" applyFont="1" applyProtection="1">
      <protection locked="0"/>
    </xf>
    <xf numFmtId="166" fontId="8" fillId="0" borderId="0" xfId="5" applyNumberFormat="1" applyFont="1" applyProtection="1">
      <protection locked="0"/>
    </xf>
    <xf numFmtId="3" fontId="24" fillId="0" borderId="0" xfId="0" applyNumberFormat="1" applyFont="1"/>
    <xf numFmtId="173" fontId="67" fillId="0" borderId="0" xfId="0" applyNumberFormat="1" applyFont="1" applyAlignment="1">
      <alignment horizontal="right" vertical="top"/>
    </xf>
    <xf numFmtId="179" fontId="67" fillId="0" borderId="0" xfId="0" applyNumberFormat="1" applyFont="1" applyAlignment="1">
      <alignment horizontal="right" vertical="top"/>
    </xf>
    <xf numFmtId="180" fontId="67" fillId="0" borderId="0" xfId="0" applyNumberFormat="1" applyFont="1" applyAlignment="1">
      <alignment horizontal="right" vertical="top"/>
    </xf>
    <xf numFmtId="0" fontId="67" fillId="0" borderId="0" xfId="0" applyFont="1" applyAlignment="1">
      <alignment horizontal="center" vertical="top" wrapText="1"/>
    </xf>
    <xf numFmtId="169" fontId="67" fillId="0" borderId="0" xfId="0" applyNumberFormat="1" applyFont="1" applyAlignment="1">
      <alignment horizontal="center" vertical="top"/>
    </xf>
    <xf numFmtId="181" fontId="67" fillId="0" borderId="0" xfId="0" applyNumberFormat="1" applyFont="1" applyAlignment="1">
      <alignment horizontal="right" vertical="top"/>
    </xf>
    <xf numFmtId="0" fontId="70" fillId="0" borderId="0" xfId="0" applyFont="1" applyAlignment="1">
      <alignment horizontal="left" vertical="top"/>
    </xf>
    <xf numFmtId="173" fontId="70" fillId="0" borderId="0" xfId="0" applyNumberFormat="1" applyFont="1" applyAlignment="1">
      <alignment horizontal="right" vertical="top"/>
    </xf>
    <xf numFmtId="0" fontId="70" fillId="0" borderId="0" xfId="0" applyFont="1" applyAlignment="1">
      <alignment horizontal="right" vertical="top"/>
    </xf>
    <xf numFmtId="180" fontId="70" fillId="0" borderId="0" xfId="0" applyNumberFormat="1" applyFont="1" applyAlignment="1">
      <alignment horizontal="right" vertical="top"/>
    </xf>
    <xf numFmtId="0" fontId="70" fillId="0" borderId="0" xfId="0" applyFont="1" applyAlignment="1">
      <alignment horizontal="center" vertical="top"/>
    </xf>
    <xf numFmtId="169" fontId="70" fillId="0" borderId="0" xfId="0" applyNumberFormat="1" applyFont="1" applyAlignment="1">
      <alignment horizontal="right" vertical="top"/>
    </xf>
    <xf numFmtId="169" fontId="70" fillId="0" borderId="0" xfId="0" applyNumberFormat="1" applyFont="1" applyAlignment="1">
      <alignment horizontal="center" vertical="top"/>
    </xf>
    <xf numFmtId="166" fontId="17" fillId="0" borderId="0" xfId="5" applyNumberFormat="1" applyFont="1" applyAlignment="1">
      <alignment horizontal="left" indent="2"/>
    </xf>
    <xf numFmtId="0" fontId="125" fillId="0" borderId="0" xfId="21"/>
    <xf numFmtId="0" fontId="125" fillId="0" borderId="0" xfId="21" applyAlignment="1">
      <alignment wrapText="1"/>
    </xf>
    <xf numFmtId="0" fontId="125" fillId="0" borderId="0" xfId="21" applyAlignment="1">
      <alignment horizontal="left"/>
    </xf>
    <xf numFmtId="3" fontId="125" fillId="0" borderId="0" xfId="21" applyNumberFormat="1"/>
    <xf numFmtId="0" fontId="125" fillId="4" borderId="0" xfId="21" applyFill="1" applyAlignment="1">
      <alignment horizontal="left"/>
    </xf>
    <xf numFmtId="3" fontId="125" fillId="4" borderId="0" xfId="21" applyNumberFormat="1" applyFill="1"/>
    <xf numFmtId="0" fontId="125" fillId="4" borderId="0" xfId="21" applyFill="1"/>
    <xf numFmtId="3" fontId="5" fillId="0" borderId="0" xfId="21" applyNumberFormat="1" applyFont="1"/>
    <xf numFmtId="3" fontId="24" fillId="0" borderId="0" xfId="21" applyNumberFormat="1" applyFont="1"/>
    <xf numFmtId="0" fontId="152" fillId="0" borderId="0" xfId="22" applyFont="1" applyAlignment="1">
      <alignment vertical="center" wrapText="1"/>
    </xf>
    <xf numFmtId="166" fontId="152" fillId="0" borderId="0" xfId="23" applyNumberFormat="1" applyFont="1" applyAlignment="1">
      <alignment vertical="center" wrapText="1"/>
    </xf>
    <xf numFmtId="182" fontId="152" fillId="0" borderId="0" xfId="22" applyNumberFormat="1" applyFont="1" applyAlignment="1">
      <alignment vertical="center" wrapText="1"/>
    </xf>
    <xf numFmtId="0" fontId="87" fillId="0" borderId="0" xfId="21" applyFont="1" applyAlignment="1">
      <alignment wrapText="1"/>
    </xf>
    <xf numFmtId="166" fontId="87" fillId="0" borderId="0" xfId="23" applyNumberFormat="1" applyFont="1" applyAlignment="1">
      <alignment wrapText="1"/>
    </xf>
    <xf numFmtId="0" fontId="87" fillId="0" borderId="0" xfId="21" applyFont="1"/>
    <xf numFmtId="0" fontId="125" fillId="20" borderId="0" xfId="21" applyFill="1"/>
    <xf numFmtId="43" fontId="125" fillId="0" borderId="0" xfId="23" applyFont="1"/>
    <xf numFmtId="0" fontId="25" fillId="22" borderId="56" xfId="21" applyFont="1" applyFill="1" applyBorder="1" applyAlignment="1">
      <alignment horizontal="left"/>
    </xf>
    <xf numFmtId="3" fontId="120" fillId="22" borderId="56" xfId="21" applyNumberFormat="1" applyFont="1" applyFill="1" applyBorder="1"/>
    <xf numFmtId="3" fontId="25" fillId="22" borderId="56" xfId="21" applyNumberFormat="1" applyFont="1" applyFill="1" applyBorder="1"/>
    <xf numFmtId="0" fontId="5" fillId="0" borderId="0" xfId="21" applyFont="1"/>
    <xf numFmtId="3" fontId="87" fillId="0" borderId="0" xfId="21" applyNumberFormat="1" applyFont="1"/>
    <xf numFmtId="0" fontId="138" fillId="7" borderId="3" xfId="15" applyFont="1" applyFill="1" applyBorder="1" applyAlignment="1">
      <alignment horizontal="center" wrapText="1"/>
    </xf>
    <xf numFmtId="166" fontId="125" fillId="0" borderId="0" xfId="15" applyNumberFormat="1" applyFont="1" applyAlignment="1">
      <alignment horizontal="center" wrapText="1"/>
    </xf>
    <xf numFmtId="166" fontId="19" fillId="0" borderId="0" xfId="1" applyNumberFormat="1" applyFont="1"/>
    <xf numFmtId="166" fontId="17" fillId="0" borderId="61" xfId="5" applyNumberFormat="1" applyFont="1" applyBorder="1" applyAlignment="1">
      <alignment horizontal="left" indent="2"/>
    </xf>
    <xf numFmtId="0" fontId="133" fillId="0" borderId="3" xfId="0" applyFont="1" applyBorder="1" applyAlignment="1">
      <alignment horizontal="left" vertical="top" wrapText="1"/>
    </xf>
    <xf numFmtId="169" fontId="133" fillId="0" borderId="3" xfId="0" applyNumberFormat="1" applyFont="1" applyBorder="1" applyAlignment="1">
      <alignment horizontal="left" vertical="top"/>
    </xf>
    <xf numFmtId="169" fontId="133" fillId="0" borderId="3" xfId="0" applyNumberFormat="1" applyFont="1" applyBorder="1" applyAlignment="1">
      <alignment horizontal="right" vertical="top"/>
    </xf>
    <xf numFmtId="0" fontId="133" fillId="0" borderId="3" xfId="0" applyFont="1" applyBorder="1" applyAlignment="1">
      <alignment horizontal="right" vertical="top"/>
    </xf>
    <xf numFmtId="0" fontId="17" fillId="0" borderId="3" xfId="5" applyFont="1" applyBorder="1"/>
    <xf numFmtId="166" fontId="17" fillId="0" borderId="3" xfId="1" applyNumberFormat="1" applyFont="1" applyBorder="1"/>
    <xf numFmtId="0" fontId="17" fillId="0" borderId="3" xfId="5" applyFont="1" applyBorder="1" applyAlignment="1">
      <alignment horizontal="left" indent="2"/>
    </xf>
    <xf numFmtId="165" fontId="17" fillId="0" borderId="3" xfId="2" applyNumberFormat="1" applyFont="1" applyBorder="1"/>
    <xf numFmtId="0" fontId="9" fillId="2" borderId="0" xfId="5" applyFont="1" applyFill="1" applyAlignment="1" applyProtection="1">
      <alignment horizontal="center" wrapText="1" readingOrder="1"/>
      <protection locked="0"/>
    </xf>
    <xf numFmtId="0" fontId="10" fillId="2" borderId="2" xfId="5" applyFont="1" applyFill="1" applyBorder="1" applyAlignment="1" applyProtection="1">
      <alignment horizontal="center" vertical="center" wrapText="1" readingOrder="1"/>
      <protection locked="0"/>
    </xf>
    <xf numFmtId="0" fontId="78" fillId="0" borderId="3" xfId="5" applyFont="1" applyBorder="1" applyAlignment="1" applyProtection="1">
      <alignment horizontal="center" vertical="center"/>
      <protection locked="0"/>
    </xf>
    <xf numFmtId="0" fontId="14" fillId="3" borderId="4" xfId="5" applyFont="1" applyFill="1" applyBorder="1" applyAlignment="1" applyProtection="1">
      <alignment horizontal="left" wrapText="1" indent="1" readingOrder="1"/>
      <protection locked="0"/>
    </xf>
    <xf numFmtId="0" fontId="14" fillId="3" borderId="5" xfId="5" applyFont="1" applyFill="1" applyBorder="1" applyAlignment="1" applyProtection="1">
      <alignment horizontal="left" wrapText="1" indent="1" readingOrder="1"/>
      <protection locked="0"/>
    </xf>
    <xf numFmtId="165" fontId="17" fillId="0" borderId="8" xfId="2" applyNumberFormat="1" applyFont="1" applyBorder="1" applyAlignment="1" applyProtection="1">
      <alignment horizontal="center"/>
      <protection locked="0"/>
    </xf>
    <xf numFmtId="0" fontId="47" fillId="13" borderId="30" xfId="11" applyFont="1" applyFill="1" applyBorder="1" applyAlignment="1">
      <alignment horizontal="right"/>
    </xf>
    <xf numFmtId="0" fontId="50" fillId="13" borderId="30" xfId="11" applyFont="1" applyFill="1" applyBorder="1" applyAlignment="1">
      <alignment horizontal="center"/>
    </xf>
    <xf numFmtId="0" fontId="48" fillId="13" borderId="0" xfId="11" applyFont="1" applyFill="1" applyAlignment="1">
      <alignment horizontal="center"/>
    </xf>
    <xf numFmtId="172" fontId="48" fillId="13" borderId="33" xfId="11" applyNumberFormat="1" applyFont="1" applyFill="1" applyBorder="1" applyAlignment="1">
      <alignment horizontal="center"/>
    </xf>
    <xf numFmtId="0" fontId="51" fillId="13" borderId="33" xfId="11" applyFont="1" applyFill="1" applyBorder="1" applyAlignment="1">
      <alignment horizontal="center"/>
    </xf>
    <xf numFmtId="0" fontId="24" fillId="0" borderId="0" xfId="8" applyFont="1" applyAlignment="1">
      <alignment horizontal="left" vertical="top" wrapText="1"/>
    </xf>
    <xf numFmtId="166" fontId="74" fillId="13" borderId="0" xfId="1" applyNumberFormat="1" applyFont="1" applyFill="1" applyBorder="1" applyAlignment="1">
      <alignment horizontal="left"/>
    </xf>
    <xf numFmtId="166" fontId="74" fillId="13" borderId="44" xfId="1" applyNumberFormat="1" applyFont="1" applyFill="1" applyBorder="1" applyAlignment="1">
      <alignment horizontal="left"/>
    </xf>
    <xf numFmtId="49" fontId="24" fillId="0" borderId="0" xfId="8" applyNumberFormat="1" applyFont="1" applyAlignment="1">
      <alignment horizontal="left" vertical="top" wrapText="1"/>
    </xf>
    <xf numFmtId="0" fontId="25" fillId="15" borderId="3" xfId="15" applyFont="1" applyFill="1" applyBorder="1" applyAlignment="1">
      <alignment horizontal="center"/>
    </xf>
    <xf numFmtId="0" fontId="25" fillId="15" borderId="37" xfId="15" applyFont="1" applyFill="1" applyBorder="1" applyAlignment="1">
      <alignment horizontal="center"/>
    </xf>
    <xf numFmtId="0" fontId="121" fillId="0" borderId="27" xfId="15" applyFont="1" applyBorder="1" applyAlignment="1">
      <alignment horizontal="center"/>
    </xf>
    <xf numFmtId="0" fontId="121" fillId="0" borderId="0" xfId="15" applyFont="1" applyAlignment="1">
      <alignment horizontal="center"/>
    </xf>
    <xf numFmtId="0" fontId="38" fillId="10" borderId="27" xfId="10" applyFill="1" applyBorder="1" applyAlignment="1">
      <alignment horizontal="left" vertical="top" wrapText="1"/>
    </xf>
    <xf numFmtId="0" fontId="38" fillId="10" borderId="0" xfId="10" applyFill="1" applyAlignment="1">
      <alignment horizontal="left" vertical="top" wrapText="1"/>
    </xf>
    <xf numFmtId="0" fontId="38" fillId="10" borderId="28" xfId="10" applyFill="1" applyBorder="1" applyAlignment="1">
      <alignment horizontal="left" vertical="top" wrapText="1"/>
    </xf>
    <xf numFmtId="0" fontId="101" fillId="0" borderId="18" xfId="10" applyFont="1" applyBorder="1"/>
    <xf numFmtId="0" fontId="44" fillId="11" borderId="19" xfId="8" applyFont="1" applyFill="1" applyBorder="1" applyAlignment="1">
      <alignment horizontal="left" vertical="center" wrapText="1"/>
    </xf>
    <xf numFmtId="0" fontId="44" fillId="11" borderId="20" xfId="8" applyFont="1" applyFill="1" applyBorder="1" applyAlignment="1">
      <alignment horizontal="left" vertical="center" wrapText="1"/>
    </xf>
    <xf numFmtId="0" fontId="38" fillId="0" borderId="0" xfId="10" applyAlignment="1">
      <alignment horizontal="left" vertical="center" wrapText="1"/>
    </xf>
    <xf numFmtId="0" fontId="39" fillId="8" borderId="7" xfId="0" applyFont="1" applyFill="1" applyBorder="1" applyAlignment="1">
      <alignment horizontal="left" vertical="top" wrapText="1"/>
    </xf>
    <xf numFmtId="0" fontId="43" fillId="0" borderId="8" xfId="10" applyFont="1" applyBorder="1" applyAlignment="1">
      <alignment horizontal="center" vertical="center"/>
    </xf>
    <xf numFmtId="0" fontId="7" fillId="10" borderId="7" xfId="0" applyFont="1" applyFill="1" applyBorder="1" applyAlignment="1">
      <alignment horizontal="center" vertical="center"/>
    </xf>
    <xf numFmtId="0" fontId="96" fillId="9" borderId="7" xfId="0" applyFont="1" applyFill="1" applyBorder="1" applyAlignment="1">
      <alignment horizontal="center" vertical="center" wrapText="1"/>
    </xf>
    <xf numFmtId="0" fontId="0" fillId="8" borderId="7" xfId="0" applyFill="1" applyBorder="1" applyAlignment="1">
      <alignment horizontal="left" vertical="top" wrapText="1"/>
    </xf>
    <xf numFmtId="166" fontId="23" fillId="0" borderId="0" xfId="4" applyNumberFormat="1" applyAlignment="1">
      <alignment horizontal="center" vertical="center"/>
    </xf>
    <xf numFmtId="0" fontId="35" fillId="0" borderId="8" xfId="8" applyFont="1" applyBorder="1" applyAlignment="1">
      <alignment horizontal="center"/>
    </xf>
    <xf numFmtId="0" fontId="153" fillId="0" borderId="0" xfId="5" applyFont="1" applyAlignment="1" applyProtection="1">
      <alignment horizontal="left" indent="1"/>
      <protection locked="0"/>
    </xf>
    <xf numFmtId="0" fontId="154" fillId="0" borderId="0" xfId="5" applyFont="1" applyProtection="1">
      <protection locked="0"/>
    </xf>
    <xf numFmtId="166" fontId="153" fillId="0" borderId="0" xfId="1" applyNumberFormat="1" applyFont="1" applyProtection="1">
      <protection locked="0"/>
    </xf>
    <xf numFmtId="167" fontId="153" fillId="0" borderId="0" xfId="3" applyNumberFormat="1" applyFont="1" applyProtection="1">
      <protection locked="0"/>
    </xf>
    <xf numFmtId="3" fontId="153" fillId="0" borderId="0" xfId="5" applyNumberFormat="1" applyFont="1" applyProtection="1">
      <protection locked="0"/>
    </xf>
    <xf numFmtId="10" fontId="153" fillId="0" borderId="0" xfId="3" applyNumberFormat="1" applyFont="1" applyAlignment="1" applyProtection="1">
      <alignment horizontal="right"/>
      <protection locked="0"/>
    </xf>
  </cellXfs>
  <cellStyles count="24">
    <cellStyle name="Comma" xfId="1" builtinId="3"/>
    <cellStyle name="Comma [0] 2" xfId="20" xr:uid="{B2A16DF7-9FFD-44CB-9BB4-0FE12E2273C1}"/>
    <cellStyle name="Comma 2" xfId="17" xr:uid="{3B740CC3-0315-4034-B510-B4024C2FB416}"/>
    <cellStyle name="Comma 3" xfId="12" xr:uid="{A98F22E6-97CB-4AEA-9A75-CDF410B10B44}"/>
    <cellStyle name="Comma 4" xfId="23" xr:uid="{E95D0DFA-D654-4EA6-A903-B10D90F3B2A8}"/>
    <cellStyle name="Currency" xfId="2" builtinId="4"/>
    <cellStyle name="Currency 2" xfId="16" xr:uid="{2FCD3E3C-82C4-485B-9130-88B9959EF6CE}"/>
    <cellStyle name="Currency 3" xfId="13" xr:uid="{686E119F-0A04-454E-A05B-F79096BD171F}"/>
    <cellStyle name="Hyperlink" xfId="4" builtinId="8"/>
    <cellStyle name="Normal" xfId="0" builtinId="0"/>
    <cellStyle name="Normal 10" xfId="21" xr:uid="{FD2ECA3C-FB34-4376-B091-87C7ECAD7A77}"/>
    <cellStyle name="Normal 132 2" xfId="5" xr:uid="{5A8B51AF-651E-44CF-9634-A8E98DA16C50}"/>
    <cellStyle name="Normal 133 2" xfId="10" xr:uid="{3A3C700E-1124-458A-B3AC-EBD4770480DB}"/>
    <cellStyle name="Normal 2" xfId="8" xr:uid="{447FDE0A-9EE7-4526-9D75-E62DCBAC32FF}"/>
    <cellStyle name="Normal 2 2" xfId="18" xr:uid="{B382B866-52A1-4064-9D36-C1F49FF2B1EC}"/>
    <cellStyle name="Normal 2 2 144" xfId="9" xr:uid="{16877E4F-D265-4959-805C-7A06794D92AD}"/>
    <cellStyle name="Normal 3" xfId="22" xr:uid="{BCCE1406-9F31-4553-A4C0-5A700BA1F753}"/>
    <cellStyle name="Normal 4" xfId="6" xr:uid="{C9C1056A-666C-4461-8618-B3B03037071A}"/>
    <cellStyle name="Normal 5" xfId="15" xr:uid="{E56F6E51-FC87-4820-BFD5-3408F8C84FFC}"/>
    <cellStyle name="Normal 6" xfId="11" xr:uid="{44DF3739-A08C-4036-88D4-6945EADCA467}"/>
    <cellStyle name="Normal 7" xfId="19" xr:uid="{F3881F91-8D72-4CC3-A76F-636CE9DBE337}"/>
    <cellStyle name="Percent" xfId="3" builtinId="5"/>
    <cellStyle name="Percent 3" xfId="14" xr:uid="{EF2BE004-AAE6-406E-9CBE-0C6D751A08B5}"/>
    <cellStyle name="Total 6" xfId="7" xr:uid="{FA85E810-1A03-428E-9661-1A32C65E72C0}"/>
  </cellStyles>
  <dxfs count="12">
    <dxf>
      <font>
        <color auto="1"/>
      </font>
    </dxf>
    <dxf>
      <font>
        <color rgb="FFFF0000"/>
      </font>
    </dxf>
    <dxf>
      <fill>
        <patternFill patternType="solid">
          <bgColor rgb="FFFFFF00"/>
        </patternFill>
      </fill>
    </dxf>
    <dxf>
      <fill>
        <patternFill patternType="solid">
          <bgColor rgb="FFFFFF00"/>
        </patternFill>
      </fill>
    </dxf>
    <dxf>
      <alignment wrapText="1"/>
    </dxf>
    <dxf>
      <alignment wrapText="1"/>
    </dxf>
    <dxf>
      <font>
        <color auto="1"/>
      </font>
    </dxf>
    <dxf>
      <font>
        <color rgb="FFFF0000"/>
      </font>
    </dxf>
    <dxf>
      <fill>
        <patternFill patternType="solid">
          <bgColor rgb="FFFFFF00"/>
        </patternFill>
      </fill>
    </dxf>
    <dxf>
      <fill>
        <patternFill patternType="solid">
          <bgColor rgb="FFFFFF00"/>
        </patternFill>
      </fill>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ns0:Relationships xmlns:ns0="http://schemas.openxmlformats.org/package/2006/relationships"><ns0:Relationship Id="rId1" Type="http://schemas.openxmlformats.org/officeDocument/2006/relationships/worksheet" Target="worksheets/sheet1.xml" /><ns0:Relationship Id="rId2" Type="http://schemas.openxmlformats.org/officeDocument/2006/relationships/styles" Target="styles.xml" /><ns0:Relationship Id="rId3" Type="http://schemas.openxmlformats.org/officeDocument/2006/relationships/theme" Target="theme/theme1.xml" /><ns0:Relationship Id="rId4" Type="http://schemas.openxmlformats.org/officeDocument/2006/relationships/sharedStrings" Target="sharedStrings.xml" /></ns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ns1:Ignorable="x14ac xr xr2 xr3" ns2:uid="{F945406D-F13C-46DF-9147-66C580D96E36}">
  <sheetPr>
    <tabColor rgb="FF7030A0"/>
    <pageSetUpPr fitToPage="1"/>
  </sheetPr>
  <dimension ref="A1:L124"/>
  <sheetViews>
    <sheetView topLeftCell="A100" zoomScale="85" zoomScaleNormal="85" workbookViewId="0">
      <selection activeCell="C130" sqref="C130"/>
    </sheetView>
  </sheetViews>
  <sheetFormatPr defaultColWidth="9.09765625" defaultRowHeight="12.5"/>
  <cols>
    <col min="1" max="1" width="8.19921875" style="235" bestFit="1" customWidth="1"/>
    <col min="2" max="2" width="11.19921875" style="236" bestFit="1" customWidth="1"/>
    <col min="3" max="3" width="16.5" style="235" bestFit="1" customWidth="1"/>
    <col min="4" max="4" width="16.5" style="237" bestFit="1" customWidth="1"/>
    <col min="5" max="5" width="30" style="235" bestFit="1" customWidth="1"/>
    <col min="6" max="6" width="2.09765625" style="235" bestFit="1" customWidth="1"/>
    <col min="7" max="7" width="6.8984375" style="235" bestFit="1" customWidth="1"/>
    <col min="8" max="8" width="21.69921875" style="236" bestFit="1" customWidth="1"/>
    <col min="9" max="9" width="10.296875" style="439" bestFit="1" customWidth="1"/>
    <col min="10" max="10" width="23.19921875" style="236" bestFit="1" customWidth="1"/>
    <col min="11" max="11" width="41.69921875" style="235" bestFit="1" customWidth="1"/>
    <col min="12" max="12" width="14.296875" style="238" bestFit="1" customWidth="1"/>
    <col min="13" max="16384" width="9.09765625" style="235"/>
  </cols>
  <sheetData>
    <row r="1" spans="1:12" s="63" customFormat="1" ht="65.25" customHeight="1">
      <c r="A1" s="215" t="s">
        <v>225</v>
      </c>
      <c r="D1" s="216"/>
      <c r="H1" s="433"/>
      <c r="I1" s="436"/>
      <c r="J1" s="433"/>
    </row>
    <row r="2" spans="1:12" s="63" customFormat="1" ht="19" customHeight="1">
      <c r="A2" s="320" t="s">
        <v>226</v>
      </c>
      <c r="D2" s="216"/>
      <c r="H2" s="433"/>
      <c r="I2" s="436"/>
      <c r="J2" s="433"/>
      <c r="L2" s="433"/>
    </row>
    <row r="3" spans="1:12" s="63" customFormat="1" ht="19" customHeight="1">
      <c r="A3" s="320" t="s">
        <v>227</v>
      </c>
      <c r="D3" s="216"/>
      <c r="H3" s="433"/>
      <c r="I3" s="436"/>
      <c r="J3" s="433"/>
      <c r="L3" s="433"/>
    </row>
    <row r="4" spans="1:12" s="63" customFormat="1" ht="19" customHeight="1">
      <c r="A4" s="320" t="s">
        <v>228</v>
      </c>
      <c r="D4" s="216"/>
      <c r="H4" s="433"/>
      <c r="I4" s="436"/>
      <c r="J4" s="433"/>
      <c r="L4" s="433"/>
    </row>
    <row r="5" spans="1:12" s="63" customFormat="1" ht="19" customHeight="1">
      <c r="A5" s="320" t="s">
        <v>1844</v>
      </c>
      <c r="D5" s="216"/>
      <c r="H5" s="433"/>
      <c r="I5" s="436"/>
      <c r="J5" s="433"/>
      <c r="L5" s="433"/>
    </row>
    <row r="6" spans="1:12" s="63" customFormat="1" ht="19" customHeight="1">
      <c r="A6" s="320" t="s">
        <v>1845</v>
      </c>
      <c r="D6" s="216"/>
      <c r="H6" s="433"/>
      <c r="I6" s="436"/>
      <c r="J6" s="433"/>
      <c r="L6" s="94"/>
    </row>
    <row r="7" spans="1:12" s="63" customFormat="1" ht="19" customHeight="1">
      <c r="A7" s="320" t="s">
        <v>1599</v>
      </c>
      <c r="D7" s="216"/>
      <c r="H7" s="433"/>
      <c r="I7" s="436"/>
      <c r="J7" s="433"/>
      <c r="L7" s="433"/>
    </row>
    <row r="8" spans="1:12" s="63" customFormat="1" ht="19" customHeight="1">
      <c r="A8" s="320" t="s">
        <v>1846</v>
      </c>
      <c r="D8" s="216"/>
      <c r="H8" s="433"/>
      <c r="I8" s="436"/>
      <c r="J8" s="668">
        <f>J122</f>
        <v>97028322</v>
      </c>
    </row>
    <row r="9" spans="1:12" s="219" customFormat="1" ht="69.650000000000006" customHeight="1">
      <c r="A9" s="217" t="s">
        <v>229</v>
      </c>
      <c r="B9" s="218" t="s">
        <v>230</v>
      </c>
      <c r="C9" s="218" t="s">
        <v>231</v>
      </c>
      <c r="D9" s="218" t="s">
        <v>232</v>
      </c>
      <c r="E9" s="218" t="s">
        <v>233</v>
      </c>
      <c r="F9" s="218" t="s">
        <v>234</v>
      </c>
      <c r="G9" s="218" t="s">
        <v>235</v>
      </c>
      <c r="H9" s="440" t="s">
        <v>236</v>
      </c>
      <c r="I9" s="437" t="s">
        <v>237</v>
      </c>
      <c r="J9" s="440" t="s">
        <v>238</v>
      </c>
      <c r="K9" s="218" t="s">
        <v>239</v>
      </c>
      <c r="L9" s="218" t="s">
        <v>240</v>
      </c>
    </row>
    <row r="10" spans="1:12" s="63" customFormat="1" ht="19" customHeight="1">
      <c r="A10" s="220" t="s">
        <v>241</v>
      </c>
      <c r="B10" s="220" t="s">
        <v>242</v>
      </c>
      <c r="C10" s="221">
        <v>45229</v>
      </c>
      <c r="D10" s="222">
        <v>45230</v>
      </c>
      <c r="E10" s="220" t="s">
        <v>243</v>
      </c>
      <c r="F10" s="223" t="s">
        <v>244</v>
      </c>
      <c r="G10" s="223" t="s">
        <v>244</v>
      </c>
      <c r="H10" s="224">
        <v>71211370</v>
      </c>
      <c r="I10" s="438">
        <v>0</v>
      </c>
      <c r="J10" s="224">
        <v>71211370</v>
      </c>
      <c r="K10" s="63" t="s">
        <v>245</v>
      </c>
    </row>
    <row r="11" spans="1:12" s="63" customFormat="1" ht="19" customHeight="1">
      <c r="A11" s="220" t="s">
        <v>241</v>
      </c>
      <c r="B11" s="220" t="s">
        <v>242</v>
      </c>
      <c r="C11" s="221">
        <v>45229</v>
      </c>
      <c r="D11" s="222">
        <v>45246</v>
      </c>
      <c r="E11" s="220" t="s">
        <v>243</v>
      </c>
      <c r="F11" s="223" t="s">
        <v>244</v>
      </c>
      <c r="G11" s="223" t="s">
        <v>244</v>
      </c>
      <c r="H11" s="224">
        <v>2840376</v>
      </c>
      <c r="I11" s="438">
        <v>0</v>
      </c>
      <c r="J11" s="224">
        <v>74051746</v>
      </c>
      <c r="K11" s="63" t="s">
        <v>246</v>
      </c>
    </row>
    <row r="12" spans="1:12" s="63" customFormat="1" ht="19" customHeight="1">
      <c r="A12" s="220" t="s">
        <v>241</v>
      </c>
      <c r="B12" s="220" t="s">
        <v>242</v>
      </c>
      <c r="C12" s="221">
        <v>45230</v>
      </c>
      <c r="D12" s="222">
        <v>45232</v>
      </c>
      <c r="E12" s="220" t="s">
        <v>247</v>
      </c>
      <c r="F12" s="223" t="s">
        <v>244</v>
      </c>
      <c r="G12" s="223" t="s">
        <v>244</v>
      </c>
      <c r="H12" s="224">
        <v>11</v>
      </c>
      <c r="I12" s="438">
        <v>0</v>
      </c>
      <c r="J12" s="224">
        <v>74051757</v>
      </c>
      <c r="K12" s="63" t="s">
        <v>248</v>
      </c>
    </row>
    <row r="13" spans="1:12" s="63" customFormat="1" ht="19" customHeight="1">
      <c r="A13" s="220" t="s">
        <v>241</v>
      </c>
      <c r="B13" s="220" t="s">
        <v>242</v>
      </c>
      <c r="C13" s="221">
        <v>45230</v>
      </c>
      <c r="D13" s="222">
        <v>45232</v>
      </c>
      <c r="E13" s="220" t="s">
        <v>247</v>
      </c>
      <c r="F13" s="223" t="s">
        <v>244</v>
      </c>
      <c r="G13" s="223" t="s">
        <v>244</v>
      </c>
      <c r="H13" s="224">
        <v>171</v>
      </c>
      <c r="I13" s="438">
        <v>0</v>
      </c>
      <c r="J13" s="224">
        <v>74051928</v>
      </c>
      <c r="K13" s="63" t="s">
        <v>249</v>
      </c>
    </row>
    <row r="14" spans="1:12" s="63" customFormat="1" ht="19" customHeight="1">
      <c r="A14" s="220" t="s">
        <v>241</v>
      </c>
      <c r="B14" s="220" t="s">
        <v>242</v>
      </c>
      <c r="C14" s="221">
        <v>45230</v>
      </c>
      <c r="D14" s="222">
        <v>45232</v>
      </c>
      <c r="E14" s="220" t="s">
        <v>247</v>
      </c>
      <c r="F14" s="223" t="s">
        <v>244</v>
      </c>
      <c r="G14" s="223" t="s">
        <v>244</v>
      </c>
      <c r="H14" s="224">
        <v>2531667</v>
      </c>
      <c r="I14" s="438">
        <v>0</v>
      </c>
      <c r="J14" s="224">
        <v>76583595</v>
      </c>
      <c r="K14" s="63" t="s">
        <v>250</v>
      </c>
    </row>
    <row r="15" spans="1:12" s="63" customFormat="1" ht="19" customHeight="1">
      <c r="A15" s="220" t="s">
        <v>241</v>
      </c>
      <c r="B15" s="220" t="s">
        <v>242</v>
      </c>
      <c r="C15" s="221">
        <v>45245</v>
      </c>
      <c r="D15" s="222">
        <v>45245</v>
      </c>
      <c r="E15" s="220" t="s">
        <v>251</v>
      </c>
      <c r="F15" s="223" t="s">
        <v>244</v>
      </c>
      <c r="G15" s="223" t="s">
        <v>244</v>
      </c>
      <c r="H15" s="224">
        <v>0</v>
      </c>
      <c r="I15" s="438">
        <v>-38</v>
      </c>
      <c r="J15" s="225">
        <v>76583557</v>
      </c>
      <c r="K15" s="63" t="s">
        <v>252</v>
      </c>
    </row>
    <row r="16" spans="1:12" s="63" customFormat="1" ht="19" customHeight="1">
      <c r="A16" s="220" t="s">
        <v>241</v>
      </c>
      <c r="B16" s="220" t="s">
        <v>242</v>
      </c>
      <c r="C16" s="221">
        <v>45272</v>
      </c>
      <c r="D16" s="222">
        <v>45272</v>
      </c>
      <c r="E16" s="220" t="s">
        <v>253</v>
      </c>
      <c r="F16" s="223"/>
      <c r="G16" s="223"/>
      <c r="H16" s="224">
        <v>1228</v>
      </c>
      <c r="I16" s="438">
        <v>0</v>
      </c>
      <c r="J16" s="224">
        <v>76584785</v>
      </c>
      <c r="K16" s="63" t="s">
        <v>254</v>
      </c>
    </row>
    <row r="17" spans="1:12" s="63" customFormat="1" ht="19" customHeight="1">
      <c r="A17" s="220" t="s">
        <v>241</v>
      </c>
      <c r="B17" s="220" t="s">
        <v>242</v>
      </c>
      <c r="C17" s="221">
        <v>45273</v>
      </c>
      <c r="D17" s="222">
        <v>45273</v>
      </c>
      <c r="E17" s="220" t="s">
        <v>253</v>
      </c>
      <c r="F17" s="223"/>
      <c r="G17" s="223"/>
      <c r="H17" s="224">
        <v>200</v>
      </c>
      <c r="I17" s="438">
        <v>0</v>
      </c>
      <c r="J17" s="224">
        <v>76584985</v>
      </c>
      <c r="K17" s="63" t="s">
        <v>255</v>
      </c>
    </row>
    <row r="18" spans="1:12" s="63" customFormat="1" ht="19" customHeight="1">
      <c r="A18" s="220" t="s">
        <v>241</v>
      </c>
      <c r="B18" s="220" t="s">
        <v>242</v>
      </c>
      <c r="C18" s="221">
        <v>45274</v>
      </c>
      <c r="D18" s="222">
        <v>45274</v>
      </c>
      <c r="E18" s="220" t="s">
        <v>253</v>
      </c>
      <c r="F18" s="223"/>
      <c r="G18" s="223"/>
      <c r="H18" s="224">
        <v>284</v>
      </c>
      <c r="I18" s="438">
        <v>0</v>
      </c>
      <c r="J18" s="224">
        <v>76585269</v>
      </c>
      <c r="K18" s="63" t="s">
        <v>255</v>
      </c>
    </row>
    <row r="19" spans="1:12" s="63" customFormat="1" ht="19" customHeight="1">
      <c r="A19" s="220" t="s">
        <v>241</v>
      </c>
      <c r="B19" s="220" t="s">
        <v>242</v>
      </c>
      <c r="C19" s="221">
        <v>45275</v>
      </c>
      <c r="D19" s="222">
        <v>45275</v>
      </c>
      <c r="E19" s="220" t="s">
        <v>253</v>
      </c>
      <c r="F19" s="223"/>
      <c r="G19" s="223"/>
      <c r="H19" s="224">
        <v>5735</v>
      </c>
      <c r="I19" s="438">
        <v>0</v>
      </c>
      <c r="J19" s="224">
        <v>76591004</v>
      </c>
      <c r="K19" s="63" t="s">
        <v>255</v>
      </c>
    </row>
    <row r="20" spans="1:12" s="63" customFormat="1" ht="19" customHeight="1">
      <c r="A20" s="220" t="s">
        <v>241</v>
      </c>
      <c r="B20" s="220" t="s">
        <v>242</v>
      </c>
      <c r="C20" s="221">
        <v>45278</v>
      </c>
      <c r="D20" s="222">
        <v>45278</v>
      </c>
      <c r="E20" s="220" t="s">
        <v>253</v>
      </c>
      <c r="F20" s="223"/>
      <c r="G20" s="223"/>
      <c r="H20" s="224">
        <v>1000</v>
      </c>
      <c r="I20" s="438">
        <v>0</v>
      </c>
      <c r="J20" s="224">
        <v>76592004</v>
      </c>
      <c r="K20" s="63" t="s">
        <v>256</v>
      </c>
    </row>
    <row r="21" spans="1:12" s="232" customFormat="1" ht="19" customHeight="1">
      <c r="A21" s="226" t="s">
        <v>241</v>
      </c>
      <c r="B21" s="226" t="s">
        <v>242</v>
      </c>
      <c r="C21" s="227">
        <v>45281</v>
      </c>
      <c r="D21" s="228">
        <v>45281</v>
      </c>
      <c r="E21" s="226" t="s">
        <v>253</v>
      </c>
      <c r="F21" s="229"/>
      <c r="G21" s="229"/>
      <c r="H21" s="230">
        <v>3612</v>
      </c>
      <c r="I21" s="441">
        <v>0</v>
      </c>
      <c r="J21" s="231">
        <v>76595616</v>
      </c>
      <c r="K21" s="232" t="s">
        <v>255</v>
      </c>
      <c r="L21" s="233">
        <f>SUM(H10:I21)</f>
        <v>76595616</v>
      </c>
    </row>
    <row r="22" spans="1:12" s="63" customFormat="1" ht="19" customHeight="1">
      <c r="A22" s="220" t="s">
        <v>241</v>
      </c>
      <c r="B22" s="220" t="s">
        <v>242</v>
      </c>
      <c r="C22" s="221">
        <v>45302</v>
      </c>
      <c r="D22" s="222">
        <v>45302</v>
      </c>
      <c r="E22" s="220" t="s">
        <v>257</v>
      </c>
      <c r="F22" s="223" t="s">
        <v>244</v>
      </c>
      <c r="G22" s="223" t="s">
        <v>258</v>
      </c>
      <c r="H22" s="224">
        <v>1000</v>
      </c>
      <c r="I22" s="438">
        <v>0</v>
      </c>
      <c r="J22" s="224">
        <v>76596616</v>
      </c>
      <c r="K22" s="63" t="s">
        <v>256</v>
      </c>
    </row>
    <row r="23" spans="1:12" s="63" customFormat="1" ht="19" customHeight="1">
      <c r="A23" s="220" t="s">
        <v>241</v>
      </c>
      <c r="B23" s="220" t="s">
        <v>242</v>
      </c>
      <c r="C23" s="221">
        <v>45303</v>
      </c>
      <c r="D23" s="222">
        <v>45303</v>
      </c>
      <c r="E23" s="220" t="s">
        <v>257</v>
      </c>
      <c r="F23" s="223" t="s">
        <v>244</v>
      </c>
      <c r="G23" s="223" t="s">
        <v>258</v>
      </c>
      <c r="H23" s="224">
        <v>7680</v>
      </c>
      <c r="I23" s="438">
        <v>0</v>
      </c>
      <c r="J23" s="224">
        <v>76604296</v>
      </c>
      <c r="K23" s="63" t="s">
        <v>259</v>
      </c>
    </row>
    <row r="24" spans="1:12" s="63" customFormat="1" ht="19" customHeight="1">
      <c r="A24" s="220" t="s">
        <v>241</v>
      </c>
      <c r="B24" s="220" t="s">
        <v>242</v>
      </c>
      <c r="C24" s="221">
        <v>45314</v>
      </c>
      <c r="D24" s="222">
        <v>45314</v>
      </c>
      <c r="E24" s="220" t="s">
        <v>247</v>
      </c>
      <c r="F24" s="223" t="s">
        <v>244</v>
      </c>
      <c r="G24" s="223" t="s">
        <v>244</v>
      </c>
      <c r="H24" s="224">
        <v>8767333</v>
      </c>
      <c r="I24" s="438">
        <v>0</v>
      </c>
      <c r="J24" s="224">
        <v>85371629</v>
      </c>
      <c r="K24" s="63" t="s">
        <v>260</v>
      </c>
    </row>
    <row r="25" spans="1:12" s="232" customFormat="1" ht="19" customHeight="1">
      <c r="A25" s="226" t="s">
        <v>241</v>
      </c>
      <c r="B25" s="226" t="s">
        <v>242</v>
      </c>
      <c r="C25" s="227">
        <v>45321</v>
      </c>
      <c r="D25" s="228">
        <v>45321</v>
      </c>
      <c r="E25" s="226" t="s">
        <v>257</v>
      </c>
      <c r="F25" s="229" t="s">
        <v>244</v>
      </c>
      <c r="G25" s="229" t="s">
        <v>258</v>
      </c>
      <c r="H25" s="230">
        <v>2917</v>
      </c>
      <c r="I25" s="441">
        <v>0</v>
      </c>
      <c r="J25" s="231">
        <v>85374546</v>
      </c>
      <c r="K25" s="232" t="s">
        <v>261</v>
      </c>
      <c r="L25" s="233">
        <f>SUM(H22:I25)</f>
        <v>8778930</v>
      </c>
    </row>
    <row r="26" spans="1:12" s="63" customFormat="1" ht="19" customHeight="1">
      <c r="A26" s="220" t="s">
        <v>241</v>
      </c>
      <c r="B26" s="220" t="s">
        <v>262</v>
      </c>
      <c r="C26" s="221">
        <v>45342</v>
      </c>
      <c r="D26" s="222">
        <v>45342</v>
      </c>
      <c r="E26" s="220" t="s">
        <v>257</v>
      </c>
      <c r="F26" s="223"/>
      <c r="G26" s="223" t="s">
        <v>258</v>
      </c>
      <c r="H26" s="224">
        <v>700</v>
      </c>
      <c r="I26" s="438">
        <v>0</v>
      </c>
      <c r="J26" s="224">
        <v>85375246</v>
      </c>
      <c r="K26" s="63" t="s">
        <v>263</v>
      </c>
    </row>
    <row r="27" spans="1:12" s="63" customFormat="1" ht="19" customHeight="1">
      <c r="A27" s="220" t="s">
        <v>241</v>
      </c>
      <c r="B27" s="220" t="s">
        <v>262</v>
      </c>
      <c r="C27" s="221">
        <v>45348</v>
      </c>
      <c r="D27" s="222">
        <v>45348</v>
      </c>
      <c r="E27" s="220" t="s">
        <v>257</v>
      </c>
      <c r="F27" s="223"/>
      <c r="G27" s="223" t="s">
        <v>258</v>
      </c>
      <c r="H27" s="224">
        <v>5000</v>
      </c>
      <c r="I27" s="438">
        <v>0</v>
      </c>
      <c r="J27" s="224">
        <v>85380246</v>
      </c>
      <c r="K27" s="63" t="s">
        <v>264</v>
      </c>
    </row>
    <row r="28" spans="1:12" s="63" customFormat="1" ht="19" customHeight="1">
      <c r="A28" s="220" t="s">
        <v>241</v>
      </c>
      <c r="B28" s="220" t="s">
        <v>262</v>
      </c>
      <c r="C28" s="221">
        <v>45349</v>
      </c>
      <c r="D28" s="222">
        <v>45349</v>
      </c>
      <c r="E28" s="220" t="s">
        <v>257</v>
      </c>
      <c r="F28" s="223"/>
      <c r="G28" s="223" t="s">
        <v>258</v>
      </c>
      <c r="H28" s="224">
        <v>10558</v>
      </c>
      <c r="I28" s="438">
        <v>0</v>
      </c>
      <c r="J28" s="224">
        <v>85390804</v>
      </c>
      <c r="K28" s="63" t="s">
        <v>265</v>
      </c>
    </row>
    <row r="29" spans="1:12" s="63" customFormat="1" ht="19" customHeight="1">
      <c r="A29" s="220" t="s">
        <v>241</v>
      </c>
      <c r="B29" s="220" t="s">
        <v>262</v>
      </c>
      <c r="C29" s="221">
        <v>45350</v>
      </c>
      <c r="D29" s="222">
        <v>45350</v>
      </c>
      <c r="E29" s="220" t="s">
        <v>257</v>
      </c>
      <c r="F29" s="223"/>
      <c r="G29" s="223" t="s">
        <v>258</v>
      </c>
      <c r="H29" s="224">
        <v>900</v>
      </c>
      <c r="I29" s="438">
        <v>0</v>
      </c>
      <c r="J29" s="224">
        <v>85391704</v>
      </c>
      <c r="K29" s="63" t="s">
        <v>266</v>
      </c>
    </row>
    <row r="30" spans="1:12" s="232" customFormat="1" ht="19" customHeight="1">
      <c r="A30" s="226" t="s">
        <v>241</v>
      </c>
      <c r="B30" s="226" t="s">
        <v>262</v>
      </c>
      <c r="C30" s="227">
        <v>45351</v>
      </c>
      <c r="D30" s="228">
        <v>45351</v>
      </c>
      <c r="E30" s="226" t="s">
        <v>257</v>
      </c>
      <c r="F30" s="229"/>
      <c r="G30" s="229" t="s">
        <v>258</v>
      </c>
      <c r="H30" s="230">
        <v>6542</v>
      </c>
      <c r="I30" s="441">
        <v>0</v>
      </c>
      <c r="J30" s="231">
        <v>85398246</v>
      </c>
      <c r="K30" s="232" t="s">
        <v>267</v>
      </c>
      <c r="L30" s="233">
        <f>SUM(H26:I30)</f>
        <v>23700</v>
      </c>
    </row>
    <row r="31" spans="1:12" s="63" customFormat="1" ht="19" customHeight="1">
      <c r="A31" s="220" t="s">
        <v>241</v>
      </c>
      <c r="B31" s="220" t="s">
        <v>262</v>
      </c>
      <c r="C31" s="221">
        <v>45365</v>
      </c>
      <c r="D31" s="222">
        <v>45365</v>
      </c>
      <c r="E31" s="220" t="s">
        <v>257</v>
      </c>
      <c r="F31" s="223" t="s">
        <v>244</v>
      </c>
      <c r="G31" s="223" t="s">
        <v>258</v>
      </c>
      <c r="H31" s="224">
        <v>5000</v>
      </c>
      <c r="I31" s="438">
        <v>0</v>
      </c>
      <c r="J31" s="224">
        <v>85403246</v>
      </c>
      <c r="K31" s="63" t="s">
        <v>268</v>
      </c>
    </row>
    <row r="32" spans="1:12" s="232" customFormat="1" ht="19" customHeight="1">
      <c r="A32" s="226" t="s">
        <v>241</v>
      </c>
      <c r="B32" s="226" t="s">
        <v>262</v>
      </c>
      <c r="C32" s="227">
        <v>45369</v>
      </c>
      <c r="D32" s="228">
        <v>45369</v>
      </c>
      <c r="E32" s="226" t="s">
        <v>257</v>
      </c>
      <c r="F32" s="229" t="s">
        <v>244</v>
      </c>
      <c r="G32" s="229" t="s">
        <v>258</v>
      </c>
      <c r="H32" s="230">
        <v>20000</v>
      </c>
      <c r="I32" s="441">
        <v>0</v>
      </c>
      <c r="J32" s="231">
        <v>85423246</v>
      </c>
      <c r="K32" s="232" t="s">
        <v>269</v>
      </c>
      <c r="L32" s="233">
        <f>SUM(H31:I32)</f>
        <v>25000</v>
      </c>
    </row>
    <row r="33" spans="1:12" s="63" customFormat="1" ht="19" customHeight="1">
      <c r="A33" s="220" t="s">
        <v>241</v>
      </c>
      <c r="B33" s="220" t="s">
        <v>262</v>
      </c>
      <c r="C33" s="221">
        <v>45383</v>
      </c>
      <c r="D33" s="222" t="s">
        <v>244</v>
      </c>
      <c r="E33" s="220" t="s">
        <v>257</v>
      </c>
      <c r="F33" s="223">
        <v>111488849</v>
      </c>
      <c r="G33" s="223" t="s">
        <v>258</v>
      </c>
      <c r="H33" s="224">
        <v>1417</v>
      </c>
      <c r="I33" s="438">
        <v>0</v>
      </c>
      <c r="J33" s="224">
        <v>85424663</v>
      </c>
      <c r="K33" s="63" t="s">
        <v>270</v>
      </c>
    </row>
    <row r="34" spans="1:12" s="63" customFormat="1" ht="19" customHeight="1">
      <c r="A34" s="220" t="s">
        <v>241</v>
      </c>
      <c r="B34" s="220" t="s">
        <v>262</v>
      </c>
      <c r="C34" s="221">
        <v>45384</v>
      </c>
      <c r="D34" s="222">
        <v>45384</v>
      </c>
      <c r="E34" s="220" t="s">
        <v>257</v>
      </c>
      <c r="F34" s="223" t="s">
        <v>244</v>
      </c>
      <c r="G34" s="223" t="s">
        <v>258</v>
      </c>
      <c r="H34" s="224">
        <v>20000</v>
      </c>
      <c r="I34" s="438">
        <v>0</v>
      </c>
      <c r="J34" s="224">
        <v>85444663</v>
      </c>
      <c r="K34" s="63" t="s">
        <v>271</v>
      </c>
    </row>
    <row r="35" spans="1:12" s="63" customFormat="1" ht="19" customHeight="1">
      <c r="A35" s="220" t="s">
        <v>241</v>
      </c>
      <c r="B35" s="220" t="s">
        <v>262</v>
      </c>
      <c r="C35" s="221">
        <v>45385</v>
      </c>
      <c r="D35" s="222">
        <v>45385</v>
      </c>
      <c r="E35" s="220" t="s">
        <v>257</v>
      </c>
      <c r="F35" s="223" t="s">
        <v>244</v>
      </c>
      <c r="G35" s="223" t="s">
        <v>258</v>
      </c>
      <c r="H35" s="224">
        <v>3271</v>
      </c>
      <c r="I35" s="438">
        <v>0</v>
      </c>
      <c r="J35" s="224">
        <v>85447934</v>
      </c>
      <c r="K35" s="63" t="s">
        <v>272</v>
      </c>
    </row>
    <row r="36" spans="1:12" s="63" customFormat="1" ht="19" customHeight="1">
      <c r="A36" s="220" t="s">
        <v>241</v>
      </c>
      <c r="B36" s="220" t="s">
        <v>262</v>
      </c>
      <c r="C36" s="221">
        <v>45386</v>
      </c>
      <c r="D36" s="222">
        <v>45386</v>
      </c>
      <c r="E36" s="220" t="s">
        <v>257</v>
      </c>
      <c r="F36" s="223" t="s">
        <v>244</v>
      </c>
      <c r="G36" s="223" t="s">
        <v>258</v>
      </c>
      <c r="H36" s="224">
        <v>2729</v>
      </c>
      <c r="I36" s="438">
        <v>0</v>
      </c>
      <c r="J36" s="224">
        <v>85450663</v>
      </c>
      <c r="K36" s="63" t="s">
        <v>273</v>
      </c>
    </row>
    <row r="37" spans="1:12" s="63" customFormat="1" ht="19" customHeight="1">
      <c r="A37" s="220" t="s">
        <v>241</v>
      </c>
      <c r="B37" s="220" t="s">
        <v>262</v>
      </c>
      <c r="C37" s="221">
        <v>45387</v>
      </c>
      <c r="D37" s="222">
        <v>45387</v>
      </c>
      <c r="E37" s="220" t="s">
        <v>257</v>
      </c>
      <c r="F37" s="223" t="s">
        <v>244</v>
      </c>
      <c r="G37" s="223" t="s">
        <v>258</v>
      </c>
      <c r="H37" s="224">
        <v>777</v>
      </c>
      <c r="I37" s="438">
        <v>0</v>
      </c>
      <c r="J37" s="224">
        <v>85451440</v>
      </c>
      <c r="K37" s="63" t="s">
        <v>274</v>
      </c>
    </row>
    <row r="38" spans="1:12" s="63" customFormat="1" ht="19" customHeight="1">
      <c r="A38" s="220" t="s">
        <v>241</v>
      </c>
      <c r="B38" s="220" t="s">
        <v>262</v>
      </c>
      <c r="C38" s="221">
        <v>45390</v>
      </c>
      <c r="D38" s="222">
        <v>45390</v>
      </c>
      <c r="E38" s="220" t="s">
        <v>257</v>
      </c>
      <c r="F38" s="223" t="s">
        <v>244</v>
      </c>
      <c r="G38" s="223" t="s">
        <v>258</v>
      </c>
      <c r="H38" s="224">
        <v>3412</v>
      </c>
      <c r="I38" s="438">
        <v>0</v>
      </c>
      <c r="J38" s="224">
        <v>85454852</v>
      </c>
      <c r="K38" s="63" t="s">
        <v>275</v>
      </c>
    </row>
    <row r="39" spans="1:12" s="63" customFormat="1" ht="19" customHeight="1">
      <c r="A39" s="220" t="s">
        <v>241</v>
      </c>
      <c r="B39" s="220" t="s">
        <v>262</v>
      </c>
      <c r="C39" s="221">
        <v>45391</v>
      </c>
      <c r="D39" s="222">
        <v>45391</v>
      </c>
      <c r="E39" s="220" t="s">
        <v>257</v>
      </c>
      <c r="F39" s="223" t="s">
        <v>244</v>
      </c>
      <c r="G39" s="223" t="s">
        <v>258</v>
      </c>
      <c r="H39" s="224">
        <v>2966</v>
      </c>
      <c r="I39" s="438">
        <v>0</v>
      </c>
      <c r="J39" s="224">
        <v>85457818</v>
      </c>
      <c r="K39" s="63" t="s">
        <v>276</v>
      </c>
    </row>
    <row r="40" spans="1:12" s="63" customFormat="1" ht="19" customHeight="1">
      <c r="A40" s="220" t="s">
        <v>241</v>
      </c>
      <c r="B40" s="220" t="s">
        <v>262</v>
      </c>
      <c r="C40" s="221">
        <v>45392</v>
      </c>
      <c r="D40" s="222">
        <v>45392</v>
      </c>
      <c r="E40" s="220" t="s">
        <v>257</v>
      </c>
      <c r="F40" s="223" t="s">
        <v>244</v>
      </c>
      <c r="G40" s="223" t="s">
        <v>258</v>
      </c>
      <c r="H40" s="224">
        <v>2154</v>
      </c>
      <c r="I40" s="438">
        <v>0</v>
      </c>
      <c r="J40" s="224">
        <v>85459972</v>
      </c>
      <c r="K40" s="63" t="s">
        <v>277</v>
      </c>
    </row>
    <row r="41" spans="1:12" s="63" customFormat="1" ht="19" customHeight="1">
      <c r="A41" s="220" t="s">
        <v>241</v>
      </c>
      <c r="B41" s="220" t="s">
        <v>262</v>
      </c>
      <c r="C41" s="221">
        <v>45399</v>
      </c>
      <c r="D41" s="222">
        <v>45399</v>
      </c>
      <c r="E41" s="220" t="s">
        <v>257</v>
      </c>
      <c r="F41" s="223" t="s">
        <v>244</v>
      </c>
      <c r="G41" s="223" t="s">
        <v>258</v>
      </c>
      <c r="H41" s="224">
        <v>343</v>
      </c>
      <c r="I41" s="438">
        <v>0</v>
      </c>
      <c r="J41" s="224">
        <v>85460315</v>
      </c>
      <c r="K41" s="63" t="s">
        <v>278</v>
      </c>
    </row>
    <row r="42" spans="1:12" s="63" customFormat="1" ht="19" customHeight="1">
      <c r="A42" s="220" t="s">
        <v>241</v>
      </c>
      <c r="B42" s="220" t="s">
        <v>262</v>
      </c>
      <c r="C42" s="221">
        <v>45400</v>
      </c>
      <c r="D42" s="222">
        <v>45400</v>
      </c>
      <c r="E42" s="220" t="s">
        <v>257</v>
      </c>
      <c r="F42" s="223" t="s">
        <v>244</v>
      </c>
      <c r="G42" s="223" t="s">
        <v>258</v>
      </c>
      <c r="H42" s="224">
        <v>6357</v>
      </c>
      <c r="I42" s="438">
        <v>0</v>
      </c>
      <c r="J42" s="224">
        <v>85466672</v>
      </c>
      <c r="K42" s="63" t="s">
        <v>279</v>
      </c>
    </row>
    <row r="43" spans="1:12" s="63" customFormat="1" ht="19" customHeight="1">
      <c r="A43" s="220" t="s">
        <v>241</v>
      </c>
      <c r="B43" s="220" t="s">
        <v>262</v>
      </c>
      <c r="C43" s="221">
        <v>45401</v>
      </c>
      <c r="D43" s="222">
        <v>45401</v>
      </c>
      <c r="E43" s="220" t="s">
        <v>257</v>
      </c>
      <c r="F43" s="223" t="s">
        <v>244</v>
      </c>
      <c r="G43" s="223" t="s">
        <v>258</v>
      </c>
      <c r="H43" s="224">
        <v>9</v>
      </c>
      <c r="I43" s="438">
        <v>0</v>
      </c>
      <c r="J43" s="224">
        <v>85466681</v>
      </c>
      <c r="K43" s="63" t="s">
        <v>280</v>
      </c>
    </row>
    <row r="44" spans="1:12" s="63" customFormat="1" ht="19" customHeight="1">
      <c r="A44" s="220" t="s">
        <v>241</v>
      </c>
      <c r="B44" s="220" t="s">
        <v>262</v>
      </c>
      <c r="C44" s="221">
        <v>45405</v>
      </c>
      <c r="D44" s="222">
        <v>45405</v>
      </c>
      <c r="E44" s="220" t="s">
        <v>257</v>
      </c>
      <c r="F44" s="223" t="s">
        <v>244</v>
      </c>
      <c r="G44" s="223" t="s">
        <v>258</v>
      </c>
      <c r="H44" s="224">
        <v>10315</v>
      </c>
      <c r="I44" s="438">
        <v>0</v>
      </c>
      <c r="J44" s="224">
        <v>85476996</v>
      </c>
      <c r="K44" s="63" t="s">
        <v>281</v>
      </c>
    </row>
    <row r="45" spans="1:12" s="63" customFormat="1" ht="19" customHeight="1">
      <c r="A45" s="220" t="s">
        <v>241</v>
      </c>
      <c r="B45" s="220" t="s">
        <v>262</v>
      </c>
      <c r="C45" s="221">
        <v>45406</v>
      </c>
      <c r="D45" s="222">
        <v>45406</v>
      </c>
      <c r="E45" s="220" t="s">
        <v>257</v>
      </c>
      <c r="F45" s="223" t="s">
        <v>244</v>
      </c>
      <c r="G45" s="223" t="s">
        <v>258</v>
      </c>
      <c r="H45" s="224">
        <v>1921</v>
      </c>
      <c r="I45" s="438">
        <v>0</v>
      </c>
      <c r="J45" s="224">
        <v>85478917</v>
      </c>
      <c r="K45" s="63" t="s">
        <v>282</v>
      </c>
    </row>
    <row r="46" spans="1:12" s="63" customFormat="1" ht="19" customHeight="1">
      <c r="A46" s="220" t="s">
        <v>241</v>
      </c>
      <c r="B46" s="220" t="s">
        <v>262</v>
      </c>
      <c r="C46" s="221">
        <v>45407</v>
      </c>
      <c r="D46" s="222">
        <v>45407</v>
      </c>
      <c r="E46" s="220" t="s">
        <v>257</v>
      </c>
      <c r="F46" s="223" t="s">
        <v>244</v>
      </c>
      <c r="G46" s="223" t="s">
        <v>258</v>
      </c>
      <c r="H46" s="224">
        <v>735</v>
      </c>
      <c r="I46" s="438">
        <v>0</v>
      </c>
      <c r="J46" s="224">
        <v>85479652</v>
      </c>
      <c r="K46" s="63" t="s">
        <v>283</v>
      </c>
    </row>
    <row r="47" spans="1:12" s="63" customFormat="1" ht="19" customHeight="1">
      <c r="A47" s="220" t="s">
        <v>241</v>
      </c>
      <c r="B47" s="220" t="s">
        <v>262</v>
      </c>
      <c r="C47" s="221">
        <v>45408</v>
      </c>
      <c r="D47" s="222">
        <v>45408</v>
      </c>
      <c r="E47" s="220" t="s">
        <v>257</v>
      </c>
      <c r="F47" s="223" t="s">
        <v>244</v>
      </c>
      <c r="G47" s="223" t="s">
        <v>258</v>
      </c>
      <c r="H47" s="224">
        <v>6500</v>
      </c>
      <c r="I47" s="438">
        <v>0</v>
      </c>
      <c r="J47" s="224">
        <v>85486152</v>
      </c>
      <c r="K47" s="63" t="s">
        <v>284</v>
      </c>
    </row>
    <row r="48" spans="1:12" s="232" customFormat="1" ht="19" customHeight="1">
      <c r="A48" s="226" t="s">
        <v>241</v>
      </c>
      <c r="B48" s="226" t="s">
        <v>262</v>
      </c>
      <c r="C48" s="227">
        <v>45411</v>
      </c>
      <c r="D48" s="228">
        <v>45411</v>
      </c>
      <c r="E48" s="226" t="s">
        <v>257</v>
      </c>
      <c r="F48" s="229" t="s">
        <v>244</v>
      </c>
      <c r="G48" s="229" t="s">
        <v>258</v>
      </c>
      <c r="H48" s="230">
        <v>3964</v>
      </c>
      <c r="I48" s="441">
        <v>0</v>
      </c>
      <c r="J48" s="234">
        <v>85490116</v>
      </c>
      <c r="K48" s="232" t="s">
        <v>285</v>
      </c>
      <c r="L48" s="233">
        <f>SUM(H33:I48)</f>
        <v>66870</v>
      </c>
    </row>
    <row r="49" spans="1:12" s="63" customFormat="1" ht="19" customHeight="1">
      <c r="A49" s="220" t="s">
        <v>241</v>
      </c>
      <c r="B49" s="220" t="s">
        <v>262</v>
      </c>
      <c r="C49" s="221">
        <v>45414</v>
      </c>
      <c r="D49" s="222">
        <v>45414</v>
      </c>
      <c r="E49" s="220" t="s">
        <v>257</v>
      </c>
      <c r="F49" s="223" t="s">
        <v>244</v>
      </c>
      <c r="G49" s="223" t="s">
        <v>258</v>
      </c>
      <c r="H49" s="224">
        <v>20000</v>
      </c>
      <c r="I49" s="438">
        <v>0</v>
      </c>
      <c r="J49" s="224">
        <v>85510116</v>
      </c>
      <c r="K49" s="63" t="s">
        <v>286</v>
      </c>
    </row>
    <row r="50" spans="1:12" s="63" customFormat="1" ht="19" customHeight="1">
      <c r="A50" s="220" t="s">
        <v>241</v>
      </c>
      <c r="B50" s="220" t="s">
        <v>262</v>
      </c>
      <c r="C50" s="221">
        <v>45442</v>
      </c>
      <c r="D50" s="222">
        <v>45442</v>
      </c>
      <c r="E50" s="220" t="s">
        <v>257</v>
      </c>
      <c r="F50" s="223" t="s">
        <v>244</v>
      </c>
      <c r="G50" s="223" t="s">
        <v>258</v>
      </c>
      <c r="H50" s="224">
        <v>3900</v>
      </c>
      <c r="I50" s="438">
        <v>0</v>
      </c>
      <c r="J50" s="224">
        <v>85514016</v>
      </c>
      <c r="K50" s="63" t="s">
        <v>287</v>
      </c>
    </row>
    <row r="51" spans="1:12" s="232" customFormat="1" ht="19" customHeight="1">
      <c r="A51" s="226" t="s">
        <v>241</v>
      </c>
      <c r="B51" s="226" t="s">
        <v>262</v>
      </c>
      <c r="C51" s="227">
        <v>45443</v>
      </c>
      <c r="D51" s="228">
        <v>45443</v>
      </c>
      <c r="E51" s="226" t="s">
        <v>257</v>
      </c>
      <c r="F51" s="229" t="s">
        <v>244</v>
      </c>
      <c r="G51" s="229" t="s">
        <v>258</v>
      </c>
      <c r="H51" s="230">
        <v>208</v>
      </c>
      <c r="I51" s="441">
        <v>0</v>
      </c>
      <c r="J51" s="234">
        <v>85514224</v>
      </c>
      <c r="K51" s="232" t="s">
        <v>288</v>
      </c>
      <c r="L51" s="233">
        <f>SUM(H49:H51)</f>
        <v>24108</v>
      </c>
    </row>
    <row r="52" spans="1:12" s="63" customFormat="1" ht="19" customHeight="1">
      <c r="A52" s="220" t="s">
        <v>241</v>
      </c>
      <c r="B52" s="220" t="s">
        <v>262</v>
      </c>
      <c r="C52" s="221">
        <v>45446</v>
      </c>
      <c r="D52" s="222">
        <v>45446</v>
      </c>
      <c r="E52" s="220" t="s">
        <v>257</v>
      </c>
      <c r="F52" s="223" t="s">
        <v>244</v>
      </c>
      <c r="G52" s="223" t="s">
        <v>258</v>
      </c>
      <c r="H52" s="224">
        <v>10692</v>
      </c>
      <c r="I52" s="438">
        <v>0</v>
      </c>
      <c r="J52" s="224">
        <v>85524916</v>
      </c>
      <c r="K52" s="63" t="s">
        <v>335</v>
      </c>
    </row>
    <row r="53" spans="1:12" s="63" customFormat="1" ht="19" customHeight="1">
      <c r="A53" s="220" t="s">
        <v>241</v>
      </c>
      <c r="B53" s="220" t="s">
        <v>262</v>
      </c>
      <c r="C53" s="221">
        <v>45448</v>
      </c>
      <c r="D53" s="222">
        <v>45448</v>
      </c>
      <c r="E53" s="220" t="s">
        <v>257</v>
      </c>
      <c r="F53" s="223" t="s">
        <v>244</v>
      </c>
      <c r="G53" s="223" t="s">
        <v>258</v>
      </c>
      <c r="H53" s="224">
        <v>5409</v>
      </c>
      <c r="I53" s="438">
        <v>0</v>
      </c>
      <c r="J53" s="224">
        <v>85530325</v>
      </c>
      <c r="K53" s="63" t="s">
        <v>330</v>
      </c>
    </row>
    <row r="54" spans="1:12" s="63" customFormat="1" ht="19" customHeight="1">
      <c r="A54" s="220" t="s">
        <v>241</v>
      </c>
      <c r="B54" s="220" t="s">
        <v>262</v>
      </c>
      <c r="C54" s="221">
        <v>45449</v>
      </c>
      <c r="D54" s="222">
        <v>45449</v>
      </c>
      <c r="E54" s="220" t="s">
        <v>257</v>
      </c>
      <c r="F54" s="223" t="s">
        <v>244</v>
      </c>
      <c r="G54" s="223" t="s">
        <v>258</v>
      </c>
      <c r="H54" s="224">
        <v>512</v>
      </c>
      <c r="I54" s="438">
        <v>0</v>
      </c>
      <c r="J54" s="224">
        <v>85530837</v>
      </c>
      <c r="K54" s="63" t="s">
        <v>331</v>
      </c>
    </row>
    <row r="55" spans="1:12" s="63" customFormat="1" ht="19" customHeight="1">
      <c r="A55" s="220" t="s">
        <v>241</v>
      </c>
      <c r="B55" s="220" t="s">
        <v>262</v>
      </c>
      <c r="C55" s="221">
        <v>45450</v>
      </c>
      <c r="D55" s="222">
        <v>45450</v>
      </c>
      <c r="E55" s="220" t="s">
        <v>257</v>
      </c>
      <c r="F55" s="223" t="s">
        <v>244</v>
      </c>
      <c r="G55" s="223" t="s">
        <v>258</v>
      </c>
      <c r="H55" s="224">
        <v>711</v>
      </c>
      <c r="I55" s="438">
        <v>0</v>
      </c>
      <c r="J55" s="224">
        <v>85531548</v>
      </c>
      <c r="K55" s="63" t="s">
        <v>332</v>
      </c>
    </row>
    <row r="56" spans="1:12" s="63" customFormat="1" ht="19" customHeight="1">
      <c r="A56" s="220" t="s">
        <v>241</v>
      </c>
      <c r="B56" s="220" t="s">
        <v>262</v>
      </c>
      <c r="C56" s="221">
        <v>45453</v>
      </c>
      <c r="D56" s="222">
        <v>45453</v>
      </c>
      <c r="E56" s="220" t="s">
        <v>257</v>
      </c>
      <c r="F56" s="223" t="s">
        <v>244</v>
      </c>
      <c r="G56" s="223" t="s">
        <v>258</v>
      </c>
      <c r="H56" s="224">
        <v>4161</v>
      </c>
      <c r="I56" s="438">
        <v>0</v>
      </c>
      <c r="J56" s="224">
        <v>85535709</v>
      </c>
      <c r="K56" s="63" t="s">
        <v>333</v>
      </c>
    </row>
    <row r="57" spans="1:12" s="63" customFormat="1" ht="19" customHeight="1">
      <c r="A57" s="220" t="s">
        <v>241</v>
      </c>
      <c r="B57" s="220" t="s">
        <v>262</v>
      </c>
      <c r="C57" s="221">
        <v>45468</v>
      </c>
      <c r="D57" s="222">
        <v>45468</v>
      </c>
      <c r="E57" s="220" t="s">
        <v>257</v>
      </c>
      <c r="F57" s="223" t="s">
        <v>244</v>
      </c>
      <c r="G57" s="223" t="s">
        <v>258</v>
      </c>
      <c r="H57" s="224">
        <v>100</v>
      </c>
      <c r="I57" s="438">
        <v>0</v>
      </c>
      <c r="J57" s="224">
        <v>85535809</v>
      </c>
      <c r="K57" s="63" t="s">
        <v>334</v>
      </c>
    </row>
    <row r="58" spans="1:12" s="232" customFormat="1" ht="19" customHeight="1">
      <c r="A58" s="226" t="s">
        <v>241</v>
      </c>
      <c r="B58" s="226" t="s">
        <v>262</v>
      </c>
      <c r="C58" s="227">
        <v>45469</v>
      </c>
      <c r="D58" s="228">
        <v>45469</v>
      </c>
      <c r="E58" s="226" t="s">
        <v>257</v>
      </c>
      <c r="F58" s="229" t="s">
        <v>244</v>
      </c>
      <c r="G58" s="229" t="s">
        <v>258</v>
      </c>
      <c r="H58" s="230">
        <v>1965</v>
      </c>
      <c r="I58" s="441">
        <v>0</v>
      </c>
      <c r="J58" s="234">
        <v>85537774</v>
      </c>
      <c r="K58" s="232" t="s">
        <v>329</v>
      </c>
      <c r="L58" s="233">
        <f>SUM(H52:H58)</f>
        <v>23550</v>
      </c>
    </row>
    <row r="59" spans="1:12" customFormat="1" ht="19" customHeight="1">
      <c r="A59" s="323" t="s">
        <v>241</v>
      </c>
      <c r="B59" s="323" t="s">
        <v>262</v>
      </c>
      <c r="C59" s="434">
        <v>45474</v>
      </c>
      <c r="D59" s="435">
        <v>45474</v>
      </c>
      <c r="E59" s="323" t="s">
        <v>257</v>
      </c>
      <c r="F59" s="324" t="s">
        <v>244</v>
      </c>
      <c r="G59" s="324" t="s">
        <v>258</v>
      </c>
      <c r="H59" s="224">
        <v>16387</v>
      </c>
      <c r="I59" s="438">
        <v>0</v>
      </c>
      <c r="J59" s="224">
        <v>85554161</v>
      </c>
      <c r="K59" s="451" t="s">
        <v>538</v>
      </c>
    </row>
    <row r="60" spans="1:12" customFormat="1" ht="19" customHeight="1">
      <c r="A60" s="323" t="s">
        <v>241</v>
      </c>
      <c r="B60" s="323" t="s">
        <v>262</v>
      </c>
      <c r="C60" s="434">
        <v>45475</v>
      </c>
      <c r="D60" s="435">
        <v>45475</v>
      </c>
      <c r="E60" s="323" t="s">
        <v>257</v>
      </c>
      <c r="F60" s="324" t="s">
        <v>244</v>
      </c>
      <c r="G60" s="324" t="s">
        <v>258</v>
      </c>
      <c r="H60" s="224">
        <v>12200</v>
      </c>
      <c r="I60" s="438">
        <v>0</v>
      </c>
      <c r="J60" s="224">
        <v>85566361</v>
      </c>
      <c r="K60" s="451" t="s">
        <v>527</v>
      </c>
    </row>
    <row r="61" spans="1:12" customFormat="1" ht="19" customHeight="1">
      <c r="A61" s="323" t="s">
        <v>241</v>
      </c>
      <c r="B61" s="323" t="s">
        <v>262</v>
      </c>
      <c r="C61" s="434">
        <v>45476</v>
      </c>
      <c r="D61" s="435">
        <v>45476</v>
      </c>
      <c r="E61" s="323" t="s">
        <v>257</v>
      </c>
      <c r="F61" s="324" t="s">
        <v>244</v>
      </c>
      <c r="G61" s="324" t="s">
        <v>258</v>
      </c>
      <c r="H61" s="224">
        <v>7767</v>
      </c>
      <c r="I61" s="438">
        <v>0</v>
      </c>
      <c r="J61" s="224">
        <v>85574128</v>
      </c>
      <c r="K61" s="451" t="s">
        <v>528</v>
      </c>
    </row>
    <row r="62" spans="1:12" customFormat="1" ht="19" customHeight="1">
      <c r="A62" s="323" t="s">
        <v>241</v>
      </c>
      <c r="B62" s="323" t="s">
        <v>262</v>
      </c>
      <c r="C62" s="434">
        <v>45478</v>
      </c>
      <c r="D62" s="435">
        <v>45478</v>
      </c>
      <c r="E62" s="323" t="s">
        <v>257</v>
      </c>
      <c r="F62" s="324" t="s">
        <v>244</v>
      </c>
      <c r="G62" s="324" t="s">
        <v>258</v>
      </c>
      <c r="H62" s="224">
        <v>33</v>
      </c>
      <c r="I62" s="438">
        <v>0</v>
      </c>
      <c r="J62" s="224">
        <v>85574161</v>
      </c>
      <c r="K62" s="451" t="s">
        <v>529</v>
      </c>
    </row>
    <row r="63" spans="1:12" customFormat="1" ht="19" customHeight="1">
      <c r="A63" s="323" t="s">
        <v>241</v>
      </c>
      <c r="B63" s="323" t="s">
        <v>262</v>
      </c>
      <c r="C63" s="434">
        <v>45481</v>
      </c>
      <c r="D63" s="435">
        <v>45481</v>
      </c>
      <c r="E63" s="323" t="s">
        <v>257</v>
      </c>
      <c r="F63" s="324" t="s">
        <v>244</v>
      </c>
      <c r="G63" s="324" t="s">
        <v>258</v>
      </c>
      <c r="H63" s="224">
        <v>5000</v>
      </c>
      <c r="I63" s="438">
        <v>0</v>
      </c>
      <c r="J63" s="224">
        <v>85579161</v>
      </c>
      <c r="K63" s="451" t="s">
        <v>530</v>
      </c>
    </row>
    <row r="64" spans="1:12" customFormat="1" ht="19" customHeight="1">
      <c r="A64" s="323" t="s">
        <v>241</v>
      </c>
      <c r="B64" s="323" t="s">
        <v>262</v>
      </c>
      <c r="C64" s="434">
        <v>45485</v>
      </c>
      <c r="D64" s="435">
        <v>45485</v>
      </c>
      <c r="E64" s="323" t="s">
        <v>257</v>
      </c>
      <c r="F64" s="324" t="s">
        <v>244</v>
      </c>
      <c r="G64" s="324" t="s">
        <v>258</v>
      </c>
      <c r="H64" s="224">
        <v>2500</v>
      </c>
      <c r="I64" s="438">
        <v>0</v>
      </c>
      <c r="J64" s="224">
        <v>85581661</v>
      </c>
      <c r="K64" s="451" t="s">
        <v>531</v>
      </c>
    </row>
    <row r="65" spans="1:12" customFormat="1" ht="19" customHeight="1">
      <c r="A65" s="323" t="s">
        <v>241</v>
      </c>
      <c r="B65" s="323" t="s">
        <v>262</v>
      </c>
      <c r="C65" s="434">
        <v>45489</v>
      </c>
      <c r="D65" s="435">
        <v>45489</v>
      </c>
      <c r="E65" s="323" t="s">
        <v>257</v>
      </c>
      <c r="F65" s="324" t="s">
        <v>244</v>
      </c>
      <c r="G65" s="324" t="s">
        <v>258</v>
      </c>
      <c r="H65" s="224">
        <v>5000</v>
      </c>
      <c r="I65" s="438">
        <v>0</v>
      </c>
      <c r="J65" s="224">
        <v>85586661</v>
      </c>
      <c r="K65" s="451" t="s">
        <v>536</v>
      </c>
    </row>
    <row r="66" spans="1:12" customFormat="1" ht="19" customHeight="1">
      <c r="A66" s="323" t="s">
        <v>241</v>
      </c>
      <c r="B66" s="323" t="s">
        <v>262</v>
      </c>
      <c r="C66" s="434">
        <v>45489</v>
      </c>
      <c r="D66" s="435">
        <v>45489</v>
      </c>
      <c r="E66" s="323" t="s">
        <v>257</v>
      </c>
      <c r="F66" s="324" t="s">
        <v>244</v>
      </c>
      <c r="G66" s="324" t="s">
        <v>258</v>
      </c>
      <c r="H66" s="224">
        <v>12400</v>
      </c>
      <c r="I66" s="438">
        <v>0</v>
      </c>
      <c r="J66" s="224">
        <v>85599061</v>
      </c>
      <c r="K66" s="451" t="s">
        <v>535</v>
      </c>
    </row>
    <row r="67" spans="1:12" customFormat="1" ht="19" customHeight="1">
      <c r="A67" s="323" t="s">
        <v>241</v>
      </c>
      <c r="B67" s="323" t="s">
        <v>262</v>
      </c>
      <c r="C67" s="434">
        <v>45490</v>
      </c>
      <c r="D67" s="435">
        <v>45490</v>
      </c>
      <c r="E67" s="323" t="s">
        <v>257</v>
      </c>
      <c r="F67" s="324" t="s">
        <v>244</v>
      </c>
      <c r="G67" s="324" t="s">
        <v>258</v>
      </c>
      <c r="H67" s="224">
        <v>5100</v>
      </c>
      <c r="I67" s="438">
        <v>0</v>
      </c>
      <c r="J67" s="224">
        <v>85604161</v>
      </c>
      <c r="K67" s="451" t="s">
        <v>537</v>
      </c>
    </row>
    <row r="68" spans="1:12" customFormat="1" ht="19" customHeight="1">
      <c r="A68" s="323" t="s">
        <v>241</v>
      </c>
      <c r="B68" s="323" t="s">
        <v>262</v>
      </c>
      <c r="C68" s="434">
        <v>45491</v>
      </c>
      <c r="D68" s="435">
        <v>45491</v>
      </c>
      <c r="E68" s="323" t="s">
        <v>257</v>
      </c>
      <c r="F68" s="324" t="s">
        <v>244</v>
      </c>
      <c r="G68" s="324" t="s">
        <v>258</v>
      </c>
      <c r="H68" s="224">
        <v>3347</v>
      </c>
      <c r="I68" s="438">
        <v>0</v>
      </c>
      <c r="J68" s="224">
        <v>85607508</v>
      </c>
      <c r="K68" s="451" t="s">
        <v>532</v>
      </c>
    </row>
    <row r="69" spans="1:12" customFormat="1" ht="19" customHeight="1">
      <c r="A69" s="323" t="s">
        <v>241</v>
      </c>
      <c r="B69" s="323" t="s">
        <v>262</v>
      </c>
      <c r="C69" s="434">
        <v>45492</v>
      </c>
      <c r="D69" s="435">
        <v>45492</v>
      </c>
      <c r="E69" s="323" t="s">
        <v>257</v>
      </c>
      <c r="F69" s="324" t="s">
        <v>244</v>
      </c>
      <c r="G69" s="324" t="s">
        <v>258</v>
      </c>
      <c r="H69" s="224">
        <v>633</v>
      </c>
      <c r="I69" s="438">
        <v>0</v>
      </c>
      <c r="J69" s="224">
        <v>85608141</v>
      </c>
      <c r="K69" s="451" t="s">
        <v>533</v>
      </c>
    </row>
    <row r="70" spans="1:12" customFormat="1" ht="19" customHeight="1">
      <c r="A70" s="323" t="s">
        <v>241</v>
      </c>
      <c r="B70" s="323" t="s">
        <v>262</v>
      </c>
      <c r="C70" s="434">
        <v>45499</v>
      </c>
      <c r="D70" s="435">
        <v>45502</v>
      </c>
      <c r="E70" s="323" t="s">
        <v>247</v>
      </c>
      <c r="F70" s="324" t="s">
        <v>244</v>
      </c>
      <c r="G70" s="324" t="s">
        <v>244</v>
      </c>
      <c r="H70" s="224">
        <v>7815396</v>
      </c>
      <c r="I70" s="438">
        <v>0</v>
      </c>
      <c r="J70" s="468">
        <v>93423537</v>
      </c>
      <c r="K70" s="469" t="s">
        <v>526</v>
      </c>
    </row>
    <row r="71" spans="1:12" s="446" customFormat="1" ht="19" customHeight="1">
      <c r="A71" s="442" t="s">
        <v>241</v>
      </c>
      <c r="B71" s="442" t="s">
        <v>262</v>
      </c>
      <c r="C71" s="443">
        <v>45503</v>
      </c>
      <c r="D71" s="444">
        <v>45503</v>
      </c>
      <c r="E71" s="442" t="s">
        <v>257</v>
      </c>
      <c r="F71" s="445" t="s">
        <v>244</v>
      </c>
      <c r="G71" s="445" t="s">
        <v>258</v>
      </c>
      <c r="H71" s="230">
        <v>647</v>
      </c>
      <c r="I71" s="441">
        <v>0</v>
      </c>
      <c r="J71" s="234">
        <v>93424184</v>
      </c>
      <c r="K71" s="452" t="s">
        <v>534</v>
      </c>
      <c r="L71" s="470">
        <f>SUM(H59:I71)</f>
        <v>7886410</v>
      </c>
    </row>
    <row r="72" spans="1:12" customFormat="1" ht="19" customHeight="1">
      <c r="A72" s="323" t="s">
        <v>241</v>
      </c>
      <c r="B72" s="323" t="s">
        <v>262</v>
      </c>
      <c r="C72" s="434">
        <v>45530</v>
      </c>
      <c r="D72" s="435">
        <v>45530</v>
      </c>
      <c r="E72" s="323" t="s">
        <v>257</v>
      </c>
      <c r="F72" s="324" t="s">
        <v>244</v>
      </c>
      <c r="G72" s="324" t="s">
        <v>258</v>
      </c>
      <c r="H72" s="224">
        <v>480</v>
      </c>
      <c r="I72" s="438">
        <v>0</v>
      </c>
      <c r="J72" s="224">
        <v>93424664</v>
      </c>
      <c r="K72" s="451" t="s">
        <v>604</v>
      </c>
    </row>
    <row r="73" spans="1:12" s="446" customFormat="1" ht="19" customHeight="1">
      <c r="A73" s="442" t="s">
        <v>241</v>
      </c>
      <c r="B73" s="442" t="s">
        <v>262</v>
      </c>
      <c r="C73" s="443">
        <v>45531</v>
      </c>
      <c r="D73" s="444">
        <v>45531</v>
      </c>
      <c r="E73" s="442" t="s">
        <v>257</v>
      </c>
      <c r="F73" s="445" t="s">
        <v>244</v>
      </c>
      <c r="G73" s="445" t="s">
        <v>258</v>
      </c>
      <c r="H73" s="230">
        <v>17020</v>
      </c>
      <c r="I73" s="441">
        <v>0</v>
      </c>
      <c r="J73" s="234">
        <v>93441684</v>
      </c>
      <c r="K73" s="452" t="s">
        <v>605</v>
      </c>
      <c r="L73" s="558">
        <f>SUM(H72:I73)</f>
        <v>17500</v>
      </c>
    </row>
    <row r="74" spans="1:12" ht="18">
      <c r="A74" s="323" t="s">
        <v>241</v>
      </c>
      <c r="B74" s="323" t="s">
        <v>242</v>
      </c>
      <c r="C74" s="434">
        <v>45547</v>
      </c>
      <c r="D74" s="435">
        <v>45547</v>
      </c>
      <c r="E74" s="323" t="s">
        <v>257</v>
      </c>
      <c r="F74" s="324" t="s">
        <v>244</v>
      </c>
      <c r="G74" s="324" t="s">
        <v>258</v>
      </c>
      <c r="H74" s="224">
        <v>5007</v>
      </c>
      <c r="I74" s="438">
        <v>0</v>
      </c>
      <c r="J74" s="224">
        <v>93446691</v>
      </c>
      <c r="K74" s="552" t="s">
        <v>659</v>
      </c>
    </row>
    <row r="75" spans="1:12" ht="18">
      <c r="A75" s="323" t="s">
        <v>241</v>
      </c>
      <c r="B75" s="323" t="s">
        <v>242</v>
      </c>
      <c r="C75" s="434">
        <v>45548</v>
      </c>
      <c r="D75" s="435">
        <v>45548</v>
      </c>
      <c r="E75" s="323" t="s">
        <v>257</v>
      </c>
      <c r="F75" s="324" t="s">
        <v>244</v>
      </c>
      <c r="G75" s="324" t="s">
        <v>258</v>
      </c>
      <c r="H75" s="224">
        <v>2035</v>
      </c>
      <c r="I75" s="438">
        <v>0</v>
      </c>
      <c r="J75" s="224">
        <v>93448726</v>
      </c>
      <c r="K75" s="552" t="s">
        <v>660</v>
      </c>
    </row>
    <row r="76" spans="1:12" ht="18">
      <c r="A76" s="323" t="s">
        <v>241</v>
      </c>
      <c r="B76" s="323" t="s">
        <v>242</v>
      </c>
      <c r="C76" s="434">
        <v>45552</v>
      </c>
      <c r="D76" s="435">
        <v>45552</v>
      </c>
      <c r="E76" s="323" t="s">
        <v>257</v>
      </c>
      <c r="F76" s="324" t="s">
        <v>244</v>
      </c>
      <c r="G76" s="324" t="s">
        <v>258</v>
      </c>
      <c r="H76" s="224">
        <v>9239</v>
      </c>
      <c r="I76" s="438">
        <v>0</v>
      </c>
      <c r="J76" s="224">
        <v>93457965</v>
      </c>
      <c r="K76" s="552" t="s">
        <v>661</v>
      </c>
    </row>
    <row r="77" spans="1:12" ht="18">
      <c r="A77" s="323" t="s">
        <v>241</v>
      </c>
      <c r="B77" s="323" t="s">
        <v>242</v>
      </c>
      <c r="C77" s="434">
        <v>45553</v>
      </c>
      <c r="D77" s="435">
        <v>45553</v>
      </c>
      <c r="E77" s="323" t="s">
        <v>257</v>
      </c>
      <c r="F77" s="324" t="s">
        <v>244</v>
      </c>
      <c r="G77" s="324" t="s">
        <v>258</v>
      </c>
      <c r="H77" s="224">
        <v>9199</v>
      </c>
      <c r="I77" s="438">
        <v>0</v>
      </c>
      <c r="J77" s="224">
        <v>93467164</v>
      </c>
      <c r="K77" s="552" t="s">
        <v>662</v>
      </c>
    </row>
    <row r="78" spans="1:12" ht="18">
      <c r="A78" s="442" t="s">
        <v>241</v>
      </c>
      <c r="B78" s="442" t="s">
        <v>242</v>
      </c>
      <c r="C78" s="443">
        <v>45554</v>
      </c>
      <c r="D78" s="444">
        <v>45554</v>
      </c>
      <c r="E78" s="442" t="s">
        <v>257</v>
      </c>
      <c r="F78" s="445" t="s">
        <v>244</v>
      </c>
      <c r="G78" s="445" t="s">
        <v>258</v>
      </c>
      <c r="H78" s="230">
        <v>3824</v>
      </c>
      <c r="I78" s="441">
        <v>0</v>
      </c>
      <c r="J78" s="234">
        <v>93470988</v>
      </c>
      <c r="K78" s="562" t="s">
        <v>663</v>
      </c>
      <c r="L78" s="558">
        <f>SUM(H74:I78)</f>
        <v>29304</v>
      </c>
    </row>
    <row r="79" spans="1:12" ht="18">
      <c r="A79" s="323">
        <v>27591</v>
      </c>
      <c r="B79" s="323" t="s">
        <v>242</v>
      </c>
      <c r="C79" s="434">
        <v>45569</v>
      </c>
      <c r="D79" s="435">
        <v>45569</v>
      </c>
      <c r="E79" s="323" t="s">
        <v>257</v>
      </c>
      <c r="F79" s="324" t="s">
        <v>244</v>
      </c>
      <c r="G79" s="324">
        <v>15</v>
      </c>
      <c r="H79" s="561">
        <v>1866</v>
      </c>
      <c r="I79" s="438">
        <v>0</v>
      </c>
      <c r="J79" s="561">
        <v>93472854</v>
      </c>
      <c r="K79" s="564" t="s">
        <v>719</v>
      </c>
    </row>
    <row r="80" spans="1:12" ht="18">
      <c r="A80" s="323">
        <v>27591</v>
      </c>
      <c r="B80" s="323" t="s">
        <v>242</v>
      </c>
      <c r="C80" s="434">
        <v>45572</v>
      </c>
      <c r="D80" s="435">
        <v>45572</v>
      </c>
      <c r="E80" s="323" t="s">
        <v>257</v>
      </c>
      <c r="F80" s="324" t="s">
        <v>244</v>
      </c>
      <c r="G80" s="324">
        <v>15</v>
      </c>
      <c r="H80" s="561">
        <v>5021</v>
      </c>
      <c r="I80" s="438">
        <v>0</v>
      </c>
      <c r="J80" s="561">
        <v>93477875</v>
      </c>
      <c r="K80" s="564" t="s">
        <v>720</v>
      </c>
    </row>
    <row r="81" spans="1:12" ht="18">
      <c r="A81" s="323">
        <v>27591</v>
      </c>
      <c r="B81" s="323" t="s">
        <v>242</v>
      </c>
      <c r="C81" s="434">
        <v>45573</v>
      </c>
      <c r="D81" s="435">
        <v>45573</v>
      </c>
      <c r="E81" s="323" t="s">
        <v>257</v>
      </c>
      <c r="F81" s="324" t="s">
        <v>244</v>
      </c>
      <c r="G81" s="324">
        <v>15</v>
      </c>
      <c r="H81" s="561">
        <v>1405</v>
      </c>
      <c r="I81" s="438">
        <v>0</v>
      </c>
      <c r="J81" s="561">
        <v>93479280</v>
      </c>
      <c r="K81" s="564" t="s">
        <v>721</v>
      </c>
    </row>
    <row r="82" spans="1:12" ht="18">
      <c r="A82" s="323">
        <v>27591</v>
      </c>
      <c r="B82" s="323" t="s">
        <v>242</v>
      </c>
      <c r="C82" s="434">
        <v>45581</v>
      </c>
      <c r="D82" s="435">
        <v>45581</v>
      </c>
      <c r="E82" s="323" t="s">
        <v>257</v>
      </c>
      <c r="F82" s="324" t="s">
        <v>244</v>
      </c>
      <c r="G82" s="324">
        <v>15</v>
      </c>
      <c r="H82" s="561">
        <v>5050</v>
      </c>
      <c r="I82" s="438">
        <v>0</v>
      </c>
      <c r="J82" s="561">
        <v>93484330</v>
      </c>
      <c r="K82" s="564" t="s">
        <v>722</v>
      </c>
    </row>
    <row r="83" spans="1:12" ht="18">
      <c r="A83" s="323">
        <v>27591</v>
      </c>
      <c r="B83" s="323" t="s">
        <v>242</v>
      </c>
      <c r="C83" s="434">
        <v>45582</v>
      </c>
      <c r="D83" s="435">
        <v>45582</v>
      </c>
      <c r="E83" s="323" t="s">
        <v>257</v>
      </c>
      <c r="F83" s="324" t="s">
        <v>244</v>
      </c>
      <c r="G83" s="324">
        <v>15</v>
      </c>
      <c r="H83" s="561">
        <v>2587</v>
      </c>
      <c r="I83" s="438">
        <v>0</v>
      </c>
      <c r="J83" s="561">
        <v>93486917</v>
      </c>
      <c r="K83" s="564" t="s">
        <v>723</v>
      </c>
    </row>
    <row r="84" spans="1:12" ht="18">
      <c r="A84" s="323">
        <v>27591</v>
      </c>
      <c r="B84" s="323" t="s">
        <v>242</v>
      </c>
      <c r="C84" s="434">
        <v>45583</v>
      </c>
      <c r="D84" s="435">
        <v>45583</v>
      </c>
      <c r="E84" s="323" t="s">
        <v>257</v>
      </c>
      <c r="F84" s="324" t="s">
        <v>244</v>
      </c>
      <c r="G84" s="324">
        <v>15</v>
      </c>
      <c r="H84" s="561">
        <v>621</v>
      </c>
      <c r="I84" s="438">
        <v>0</v>
      </c>
      <c r="J84" s="561">
        <v>93487538</v>
      </c>
      <c r="K84" s="564" t="s">
        <v>724</v>
      </c>
    </row>
    <row r="85" spans="1:12" ht="18">
      <c r="A85" s="323">
        <v>27591</v>
      </c>
      <c r="B85" s="323" t="s">
        <v>242</v>
      </c>
      <c r="C85" s="434">
        <v>45586</v>
      </c>
      <c r="D85" s="435">
        <v>45586</v>
      </c>
      <c r="E85" s="323" t="s">
        <v>257</v>
      </c>
      <c r="F85" s="324" t="s">
        <v>244</v>
      </c>
      <c r="G85" s="324">
        <v>15</v>
      </c>
      <c r="H85" s="561">
        <v>3612</v>
      </c>
      <c r="I85" s="438">
        <v>0</v>
      </c>
      <c r="J85" s="561">
        <v>93491150</v>
      </c>
      <c r="K85" s="564" t="s">
        <v>725</v>
      </c>
    </row>
    <row r="86" spans="1:12" ht="18">
      <c r="A86" s="323">
        <v>27591</v>
      </c>
      <c r="B86" s="323" t="s">
        <v>242</v>
      </c>
      <c r="C86" s="434">
        <v>45587</v>
      </c>
      <c r="D86" s="435">
        <v>45587</v>
      </c>
      <c r="E86" s="323" t="s">
        <v>257</v>
      </c>
      <c r="F86" s="324" t="s">
        <v>244</v>
      </c>
      <c r="G86" s="324">
        <v>15</v>
      </c>
      <c r="H86" s="561">
        <v>2180</v>
      </c>
      <c r="I86" s="438">
        <v>0</v>
      </c>
      <c r="J86" s="561">
        <v>93493330</v>
      </c>
      <c r="K86" s="564" t="s">
        <v>726</v>
      </c>
    </row>
    <row r="87" spans="1:12" ht="18">
      <c r="A87" s="323">
        <v>27591</v>
      </c>
      <c r="B87" s="323" t="s">
        <v>242</v>
      </c>
      <c r="C87" s="434">
        <v>45589</v>
      </c>
      <c r="D87" s="435">
        <v>45589</v>
      </c>
      <c r="E87" s="323" t="s">
        <v>257</v>
      </c>
      <c r="F87" s="324" t="s">
        <v>244</v>
      </c>
      <c r="G87" s="324">
        <v>15</v>
      </c>
      <c r="H87" s="561">
        <v>844</v>
      </c>
      <c r="I87" s="438">
        <v>0</v>
      </c>
      <c r="J87" s="561">
        <v>93494174</v>
      </c>
      <c r="K87" s="564" t="s">
        <v>727</v>
      </c>
    </row>
    <row r="88" spans="1:12" ht="18">
      <c r="A88" s="323">
        <v>27591</v>
      </c>
      <c r="B88" s="323" t="s">
        <v>242</v>
      </c>
      <c r="C88" s="434">
        <v>45590</v>
      </c>
      <c r="D88" s="435">
        <v>45590</v>
      </c>
      <c r="E88" s="323" t="s">
        <v>257</v>
      </c>
      <c r="F88" s="324" t="s">
        <v>244</v>
      </c>
      <c r="G88" s="324">
        <v>15</v>
      </c>
      <c r="H88" s="561">
        <v>4156</v>
      </c>
      <c r="I88" s="438">
        <v>0</v>
      </c>
      <c r="J88" s="561">
        <v>93498330</v>
      </c>
      <c r="K88" s="564" t="s">
        <v>728</v>
      </c>
    </row>
    <row r="89" spans="1:12" ht="18">
      <c r="A89" s="323">
        <v>27591</v>
      </c>
      <c r="B89" s="323" t="s">
        <v>242</v>
      </c>
      <c r="C89" s="434">
        <v>45593</v>
      </c>
      <c r="D89" s="435">
        <v>45593</v>
      </c>
      <c r="E89" s="323" t="s">
        <v>257</v>
      </c>
      <c r="F89" s="324" t="s">
        <v>244</v>
      </c>
      <c r="G89" s="324">
        <v>15</v>
      </c>
      <c r="H89" s="561">
        <v>4968</v>
      </c>
      <c r="I89" s="438">
        <v>0</v>
      </c>
      <c r="J89" s="561">
        <v>93503298</v>
      </c>
      <c r="K89" s="564" t="s">
        <v>729</v>
      </c>
    </row>
    <row r="90" spans="1:12" ht="18">
      <c r="A90" s="442">
        <v>27591</v>
      </c>
      <c r="B90" s="442" t="s">
        <v>242</v>
      </c>
      <c r="C90" s="443">
        <v>45594</v>
      </c>
      <c r="D90" s="444">
        <v>45594</v>
      </c>
      <c r="E90" s="442" t="s">
        <v>257</v>
      </c>
      <c r="F90" s="445" t="s">
        <v>244</v>
      </c>
      <c r="G90" s="445">
        <v>15</v>
      </c>
      <c r="H90" s="563">
        <v>4810</v>
      </c>
      <c r="I90" s="441">
        <v>0</v>
      </c>
      <c r="J90" s="563">
        <v>93508108</v>
      </c>
      <c r="K90" s="565" t="s">
        <v>730</v>
      </c>
      <c r="L90" s="558">
        <f>SUM(H79:I90)</f>
        <v>37120</v>
      </c>
    </row>
    <row r="91" spans="1:12" ht="18">
      <c r="A91" s="323" t="s">
        <v>241</v>
      </c>
      <c r="B91" s="323" t="s">
        <v>731</v>
      </c>
      <c r="C91" s="434">
        <v>45597</v>
      </c>
      <c r="D91" s="435">
        <v>45597</v>
      </c>
      <c r="E91" s="323" t="s">
        <v>257</v>
      </c>
      <c r="F91" s="324" t="s">
        <v>244</v>
      </c>
      <c r="G91" s="324" t="s">
        <v>258</v>
      </c>
      <c r="H91" s="561">
        <v>3100</v>
      </c>
      <c r="I91" s="438">
        <v>0</v>
      </c>
      <c r="J91" s="561">
        <v>93511208</v>
      </c>
      <c r="K91" s="575" t="s">
        <v>739</v>
      </c>
    </row>
    <row r="92" spans="1:12" ht="18">
      <c r="A92" s="323" t="s">
        <v>241</v>
      </c>
      <c r="B92" s="323" t="s">
        <v>731</v>
      </c>
      <c r="C92" s="434">
        <v>45600</v>
      </c>
      <c r="D92" s="435">
        <v>45600</v>
      </c>
      <c r="E92" s="323" t="s">
        <v>257</v>
      </c>
      <c r="F92" s="324" t="s">
        <v>244</v>
      </c>
      <c r="G92" s="324" t="s">
        <v>258</v>
      </c>
      <c r="H92" s="561">
        <v>3200</v>
      </c>
      <c r="I92" s="438">
        <v>0</v>
      </c>
      <c r="J92" s="561">
        <v>93514408</v>
      </c>
      <c r="K92" s="575" t="s">
        <v>732</v>
      </c>
    </row>
    <row r="93" spans="1:12" ht="18">
      <c r="A93" s="323" t="s">
        <v>241</v>
      </c>
      <c r="B93" s="323" t="s">
        <v>731</v>
      </c>
      <c r="C93" s="434">
        <v>45601</v>
      </c>
      <c r="D93" s="435">
        <v>45601</v>
      </c>
      <c r="E93" s="323" t="s">
        <v>257</v>
      </c>
      <c r="F93" s="324" t="s">
        <v>244</v>
      </c>
      <c r="G93" s="324" t="s">
        <v>258</v>
      </c>
      <c r="H93" s="561">
        <v>1922</v>
      </c>
      <c r="I93" s="438">
        <v>0</v>
      </c>
      <c r="J93" s="561">
        <v>93516330</v>
      </c>
      <c r="K93" s="575" t="s">
        <v>733</v>
      </c>
    </row>
    <row r="94" spans="1:12" ht="18">
      <c r="A94" s="323" t="s">
        <v>241</v>
      </c>
      <c r="B94" s="323" t="s">
        <v>731</v>
      </c>
      <c r="C94" s="434">
        <v>45602</v>
      </c>
      <c r="D94" s="435">
        <v>45602</v>
      </c>
      <c r="E94" s="323" t="s">
        <v>257</v>
      </c>
      <c r="F94" s="324" t="s">
        <v>244</v>
      </c>
      <c r="G94" s="324" t="s">
        <v>258</v>
      </c>
      <c r="H94" s="561">
        <v>1000</v>
      </c>
      <c r="I94" s="438">
        <v>0</v>
      </c>
      <c r="J94" s="561">
        <v>93517330</v>
      </c>
      <c r="K94" s="575" t="s">
        <v>734</v>
      </c>
    </row>
    <row r="95" spans="1:12" ht="18">
      <c r="A95" s="323" t="s">
        <v>241</v>
      </c>
      <c r="B95" s="323" t="s">
        <v>731</v>
      </c>
      <c r="C95" s="434">
        <v>45603</v>
      </c>
      <c r="D95" s="435">
        <v>45603</v>
      </c>
      <c r="E95" s="323" t="s">
        <v>257</v>
      </c>
      <c r="F95" s="324" t="s">
        <v>244</v>
      </c>
      <c r="G95" s="324" t="s">
        <v>258</v>
      </c>
      <c r="H95" s="561">
        <v>3000</v>
      </c>
      <c r="I95" s="438">
        <v>0</v>
      </c>
      <c r="J95" s="561">
        <v>93520330</v>
      </c>
      <c r="K95" s="575" t="s">
        <v>735</v>
      </c>
    </row>
    <row r="96" spans="1:12" ht="18">
      <c r="A96" s="323" t="s">
        <v>241</v>
      </c>
      <c r="B96" s="323" t="s">
        <v>731</v>
      </c>
      <c r="C96" s="434">
        <v>45604</v>
      </c>
      <c r="D96" s="435">
        <v>45604</v>
      </c>
      <c r="E96" s="323" t="s">
        <v>257</v>
      </c>
      <c r="F96" s="324" t="s">
        <v>244</v>
      </c>
      <c r="G96" s="324" t="s">
        <v>258</v>
      </c>
      <c r="H96" s="561">
        <v>1104</v>
      </c>
      <c r="I96" s="438">
        <v>0</v>
      </c>
      <c r="J96" s="561">
        <v>93521434</v>
      </c>
      <c r="K96" s="575" t="s">
        <v>736</v>
      </c>
    </row>
    <row r="97" spans="1:12" ht="18">
      <c r="A97" s="323" t="s">
        <v>241</v>
      </c>
      <c r="B97" s="323" t="s">
        <v>731</v>
      </c>
      <c r="C97" s="434">
        <v>45608</v>
      </c>
      <c r="D97" s="435">
        <v>45608</v>
      </c>
      <c r="E97" s="323" t="s">
        <v>257</v>
      </c>
      <c r="F97" s="324" t="s">
        <v>244</v>
      </c>
      <c r="G97" s="324" t="s">
        <v>258</v>
      </c>
      <c r="H97" s="561">
        <v>8896</v>
      </c>
      <c r="I97" s="438">
        <v>0</v>
      </c>
      <c r="J97" s="561">
        <v>93530330</v>
      </c>
      <c r="K97" s="575" t="s">
        <v>737</v>
      </c>
    </row>
    <row r="98" spans="1:12" ht="18">
      <c r="A98" s="442" t="s">
        <v>241</v>
      </c>
      <c r="B98" s="442" t="s">
        <v>731</v>
      </c>
      <c r="C98" s="443">
        <v>45609</v>
      </c>
      <c r="D98" s="444">
        <v>45609</v>
      </c>
      <c r="E98" s="442" t="s">
        <v>257</v>
      </c>
      <c r="F98" s="445" t="s">
        <v>244</v>
      </c>
      <c r="G98" s="445" t="s">
        <v>258</v>
      </c>
      <c r="H98" s="563">
        <v>1845</v>
      </c>
      <c r="I98" s="441">
        <v>0</v>
      </c>
      <c r="J98" s="563">
        <v>93532175</v>
      </c>
      <c r="K98" s="576" t="s">
        <v>738</v>
      </c>
      <c r="L98" s="558">
        <f>SUM(H91:H98)</f>
        <v>24067</v>
      </c>
    </row>
    <row r="99" spans="1:12" ht="18">
      <c r="A99" s="585" t="s">
        <v>241</v>
      </c>
      <c r="B99" s="323" t="s">
        <v>731</v>
      </c>
      <c r="C99" s="434">
        <v>45632</v>
      </c>
      <c r="D99" s="435">
        <v>45632</v>
      </c>
      <c r="E99" s="585" t="s">
        <v>257</v>
      </c>
      <c r="F99" s="639" t="s">
        <v>244</v>
      </c>
      <c r="G99" s="639" t="s">
        <v>818</v>
      </c>
      <c r="H99" s="640">
        <v>6300</v>
      </c>
      <c r="I99" s="641">
        <v>0</v>
      </c>
      <c r="J99" s="642">
        <v>93538475</v>
      </c>
      <c r="K99" s="575" t="s">
        <v>819</v>
      </c>
    </row>
    <row r="100" spans="1:12" ht="18">
      <c r="A100" s="585" t="s">
        <v>241</v>
      </c>
      <c r="B100" s="323" t="s">
        <v>731</v>
      </c>
      <c r="C100" s="434">
        <v>45632</v>
      </c>
      <c r="D100" s="435">
        <v>45632</v>
      </c>
      <c r="E100" s="585" t="s">
        <v>257</v>
      </c>
      <c r="F100" s="639" t="s">
        <v>244</v>
      </c>
      <c r="G100" s="639" t="s">
        <v>818</v>
      </c>
      <c r="H100" s="640">
        <v>4649</v>
      </c>
      <c r="I100" s="641">
        <v>0</v>
      </c>
      <c r="J100" s="642">
        <v>93543124</v>
      </c>
      <c r="K100" s="575" t="s">
        <v>819</v>
      </c>
    </row>
    <row r="101" spans="1:12" ht="18">
      <c r="A101" s="585" t="s">
        <v>241</v>
      </c>
      <c r="B101" s="323" t="s">
        <v>731</v>
      </c>
      <c r="C101" s="434">
        <v>45635</v>
      </c>
      <c r="D101" s="435">
        <v>45635</v>
      </c>
      <c r="E101" s="585" t="s">
        <v>257</v>
      </c>
      <c r="F101" s="639" t="s">
        <v>244</v>
      </c>
      <c r="G101" s="639" t="s">
        <v>818</v>
      </c>
      <c r="H101" s="640">
        <v>19065</v>
      </c>
      <c r="I101" s="641">
        <v>0</v>
      </c>
      <c r="J101" s="642">
        <v>93562189</v>
      </c>
      <c r="K101" s="575" t="s">
        <v>819</v>
      </c>
    </row>
    <row r="102" spans="1:12" ht="18">
      <c r="A102" s="585" t="s">
        <v>241</v>
      </c>
      <c r="B102" s="323" t="s">
        <v>731</v>
      </c>
      <c r="C102" s="434">
        <v>45636</v>
      </c>
      <c r="D102" s="435">
        <v>45636</v>
      </c>
      <c r="E102" s="585" t="s">
        <v>257</v>
      </c>
      <c r="F102" s="639" t="s">
        <v>244</v>
      </c>
      <c r="G102" s="639" t="s">
        <v>818</v>
      </c>
      <c r="H102" s="640">
        <v>6986</v>
      </c>
      <c r="I102" s="641">
        <v>0</v>
      </c>
      <c r="J102" s="642">
        <v>93569175</v>
      </c>
      <c r="K102" s="575" t="s">
        <v>819</v>
      </c>
    </row>
    <row r="103" spans="1:12" ht="18">
      <c r="A103" s="585" t="s">
        <v>241</v>
      </c>
      <c r="B103" s="323" t="s">
        <v>731</v>
      </c>
      <c r="C103" s="434">
        <v>45637</v>
      </c>
      <c r="D103" s="435">
        <v>45637</v>
      </c>
      <c r="E103" s="585" t="s">
        <v>257</v>
      </c>
      <c r="F103" s="639" t="s">
        <v>244</v>
      </c>
      <c r="G103" s="639" t="s">
        <v>258</v>
      </c>
      <c r="H103" s="640">
        <v>2000</v>
      </c>
      <c r="I103" s="641">
        <v>0</v>
      </c>
      <c r="J103" s="642">
        <v>93571175</v>
      </c>
      <c r="K103" s="575" t="s">
        <v>820</v>
      </c>
    </row>
    <row r="104" spans="1:12" ht="18">
      <c r="A104" s="585" t="s">
        <v>241</v>
      </c>
      <c r="B104" s="323" t="s">
        <v>731</v>
      </c>
      <c r="C104" s="434">
        <v>45637</v>
      </c>
      <c r="D104" s="435">
        <v>45637</v>
      </c>
      <c r="E104" s="585" t="s">
        <v>257</v>
      </c>
      <c r="F104" s="639" t="s">
        <v>244</v>
      </c>
      <c r="G104" s="639" t="s">
        <v>818</v>
      </c>
      <c r="H104" s="640">
        <v>12249</v>
      </c>
      <c r="I104" s="641">
        <v>0</v>
      </c>
      <c r="J104" s="642">
        <v>93583424</v>
      </c>
      <c r="K104" s="575" t="s">
        <v>819</v>
      </c>
    </row>
    <row r="105" spans="1:12" ht="18">
      <c r="A105" s="585" t="s">
        <v>241</v>
      </c>
      <c r="B105" s="323" t="s">
        <v>731</v>
      </c>
      <c r="C105" s="434">
        <v>45638</v>
      </c>
      <c r="D105" s="435">
        <v>45638</v>
      </c>
      <c r="E105" s="585" t="s">
        <v>257</v>
      </c>
      <c r="F105" s="639" t="s">
        <v>244</v>
      </c>
      <c r="G105" s="639" t="s">
        <v>818</v>
      </c>
      <c r="H105" s="640">
        <v>700</v>
      </c>
      <c r="I105" s="641">
        <v>0</v>
      </c>
      <c r="J105" s="642">
        <v>93584124</v>
      </c>
      <c r="K105" s="575" t="s">
        <v>819</v>
      </c>
    </row>
    <row r="106" spans="1:12" ht="18">
      <c r="A106" s="585" t="s">
        <v>241</v>
      </c>
      <c r="B106" s="323" t="s">
        <v>731</v>
      </c>
      <c r="C106" s="434">
        <v>45639</v>
      </c>
      <c r="D106" s="435">
        <v>45639</v>
      </c>
      <c r="E106" s="585" t="s">
        <v>257</v>
      </c>
      <c r="F106" s="639" t="s">
        <v>244</v>
      </c>
      <c r="G106" s="639" t="s">
        <v>818</v>
      </c>
      <c r="H106" s="640">
        <v>8174</v>
      </c>
      <c r="I106" s="641">
        <v>0</v>
      </c>
      <c r="J106" s="642">
        <v>93592298</v>
      </c>
      <c r="K106" s="575" t="s">
        <v>819</v>
      </c>
    </row>
    <row r="107" spans="1:12" ht="18">
      <c r="A107" s="585" t="s">
        <v>241</v>
      </c>
      <c r="B107" s="323" t="s">
        <v>731</v>
      </c>
      <c r="C107" s="434">
        <v>45642</v>
      </c>
      <c r="D107" s="435">
        <v>45642</v>
      </c>
      <c r="E107" s="585" t="s">
        <v>257</v>
      </c>
      <c r="F107" s="639" t="s">
        <v>244</v>
      </c>
      <c r="G107" s="639" t="s">
        <v>818</v>
      </c>
      <c r="H107" s="640">
        <v>728</v>
      </c>
      <c r="I107" s="641">
        <v>0</v>
      </c>
      <c r="J107" s="642">
        <v>93593026</v>
      </c>
      <c r="K107" s="575" t="s">
        <v>819</v>
      </c>
    </row>
    <row r="108" spans="1:12" ht="18">
      <c r="A108" s="585" t="s">
        <v>241</v>
      </c>
      <c r="B108" s="323" t="s">
        <v>731</v>
      </c>
      <c r="C108" s="434">
        <v>45643</v>
      </c>
      <c r="D108" s="435">
        <v>45643</v>
      </c>
      <c r="E108" s="585" t="s">
        <v>257</v>
      </c>
      <c r="F108" s="639" t="s">
        <v>244</v>
      </c>
      <c r="G108" s="639" t="s">
        <v>258</v>
      </c>
      <c r="H108" s="640">
        <v>8000</v>
      </c>
      <c r="I108" s="641">
        <v>0</v>
      </c>
      <c r="J108" s="642">
        <v>93601026</v>
      </c>
      <c r="K108" s="575" t="s">
        <v>880</v>
      </c>
    </row>
    <row r="109" spans="1:12" ht="18">
      <c r="A109" s="586" t="s">
        <v>241</v>
      </c>
      <c r="B109" s="442" t="s">
        <v>731</v>
      </c>
      <c r="C109" s="443">
        <v>45644</v>
      </c>
      <c r="D109" s="444">
        <v>45644</v>
      </c>
      <c r="E109" s="586" t="s">
        <v>257</v>
      </c>
      <c r="F109" s="643" t="s">
        <v>244</v>
      </c>
      <c r="G109" s="643" t="s">
        <v>818</v>
      </c>
      <c r="H109" s="644">
        <v>11416</v>
      </c>
      <c r="I109" s="645">
        <v>0</v>
      </c>
      <c r="J109" s="646">
        <v>93612442</v>
      </c>
      <c r="K109" s="576" t="s">
        <v>819</v>
      </c>
      <c r="L109" s="558">
        <f>SUM(H99:H109)</f>
        <v>80267</v>
      </c>
    </row>
    <row r="110" spans="1:12" ht="18">
      <c r="A110" s="615" t="s">
        <v>241</v>
      </c>
      <c r="B110" s="615" t="s">
        <v>731</v>
      </c>
      <c r="C110" s="616">
        <v>45741</v>
      </c>
      <c r="D110" s="617">
        <v>45741</v>
      </c>
      <c r="E110" s="615" t="s">
        <v>257</v>
      </c>
      <c r="F110" s="647" t="s">
        <v>244</v>
      </c>
      <c r="G110" s="648" t="s">
        <v>818</v>
      </c>
      <c r="H110" s="644">
        <v>54734</v>
      </c>
      <c r="I110" s="649">
        <v>0</v>
      </c>
      <c r="J110" s="650">
        <v>93667176</v>
      </c>
      <c r="K110" s="618" t="s">
        <v>819</v>
      </c>
      <c r="L110" s="558">
        <f>H110</f>
        <v>54734</v>
      </c>
    </row>
    <row r="111" spans="1:12" ht="18">
      <c r="A111" s="651" t="s">
        <v>241</v>
      </c>
      <c r="B111" s="651" t="s">
        <v>731</v>
      </c>
      <c r="C111" s="652">
        <v>45748</v>
      </c>
      <c r="D111" s="661">
        <v>45748</v>
      </c>
      <c r="E111" s="651" t="s">
        <v>257</v>
      </c>
      <c r="F111" s="657" t="s">
        <v>244</v>
      </c>
      <c r="G111" s="653" t="s">
        <v>258</v>
      </c>
      <c r="H111" s="659">
        <v>75426</v>
      </c>
      <c r="I111" s="641">
        <v>0</v>
      </c>
      <c r="J111" s="659">
        <v>93742602</v>
      </c>
      <c r="K111" s="654" t="s">
        <v>945</v>
      </c>
      <c r="L111" s="655"/>
    </row>
    <row r="112" spans="1:12" ht="18">
      <c r="A112" s="442" t="s">
        <v>241</v>
      </c>
      <c r="B112" s="442" t="s">
        <v>731</v>
      </c>
      <c r="C112" s="443">
        <v>45768</v>
      </c>
      <c r="D112" s="444">
        <v>45768</v>
      </c>
      <c r="E112" s="442" t="s">
        <v>257</v>
      </c>
      <c r="F112" s="658" t="s">
        <v>244</v>
      </c>
      <c r="G112" s="656" t="s">
        <v>258</v>
      </c>
      <c r="H112" s="646">
        <v>15000</v>
      </c>
      <c r="I112" s="645">
        <v>0</v>
      </c>
      <c r="J112" s="646">
        <v>93757602</v>
      </c>
      <c r="K112" s="576" t="s">
        <v>944</v>
      </c>
      <c r="L112" s="660">
        <f>SUM(H111:H112)</f>
        <v>90426</v>
      </c>
    </row>
    <row r="113" spans="1:12" ht="18">
      <c r="A113" s="323" t="s">
        <v>241</v>
      </c>
      <c r="B113" s="323" t="s">
        <v>242</v>
      </c>
      <c r="C113" s="434">
        <v>45804</v>
      </c>
      <c r="D113" s="435">
        <v>45804</v>
      </c>
      <c r="E113" s="323" t="s">
        <v>968</v>
      </c>
      <c r="F113" s="584" t="s">
        <v>244</v>
      </c>
      <c r="G113" s="324" t="s">
        <v>244</v>
      </c>
      <c r="H113" s="642">
        <v>2222222</v>
      </c>
      <c r="I113" s="641">
        <v>0</v>
      </c>
      <c r="J113" s="642">
        <v>95979824</v>
      </c>
      <c r="K113" s="575" t="s">
        <v>969</v>
      </c>
    </row>
    <row r="114" spans="1:12" ht="18">
      <c r="A114" s="442" t="s">
        <v>241</v>
      </c>
      <c r="B114" s="442" t="s">
        <v>242</v>
      </c>
      <c r="C114" s="443">
        <v>45806</v>
      </c>
      <c r="D114" s="444">
        <v>45806</v>
      </c>
      <c r="E114" s="442" t="s">
        <v>968</v>
      </c>
      <c r="F114" s="663" t="s">
        <v>244</v>
      </c>
      <c r="G114" s="445" t="s">
        <v>244</v>
      </c>
      <c r="H114" s="646">
        <v>333333</v>
      </c>
      <c r="I114" s="645">
        <v>0</v>
      </c>
      <c r="J114" s="646">
        <v>96313157</v>
      </c>
      <c r="K114" s="576" t="s">
        <v>970</v>
      </c>
      <c r="L114" s="660">
        <f>SUM(H113:H114)</f>
        <v>2555555</v>
      </c>
    </row>
    <row r="115" spans="1:12" ht="18">
      <c r="A115" s="323" t="s">
        <v>241</v>
      </c>
      <c r="B115" s="323" t="s">
        <v>242</v>
      </c>
      <c r="C115" s="434">
        <v>45895</v>
      </c>
      <c r="D115" s="435">
        <v>45895</v>
      </c>
      <c r="E115" s="323" t="s">
        <v>257</v>
      </c>
      <c r="F115" s="584" t="s">
        <v>244</v>
      </c>
      <c r="G115" s="324" t="s">
        <v>258</v>
      </c>
      <c r="H115" s="680">
        <v>5000</v>
      </c>
      <c r="I115" s="641">
        <v>0</v>
      </c>
      <c r="J115" s="642">
        <v>96318157</v>
      </c>
      <c r="K115" s="654" t="s">
        <v>1026</v>
      </c>
    </row>
    <row r="116" spans="1:12" ht="18">
      <c r="A116" s="323" t="s">
        <v>241</v>
      </c>
      <c r="B116" s="323" t="s">
        <v>242</v>
      </c>
      <c r="C116" s="434">
        <v>45897</v>
      </c>
      <c r="D116" s="435">
        <v>45897</v>
      </c>
      <c r="E116" s="323" t="s">
        <v>257</v>
      </c>
      <c r="F116" s="639" t="s">
        <v>244</v>
      </c>
      <c r="G116" s="324" t="s">
        <v>258</v>
      </c>
      <c r="H116" s="680">
        <v>5000</v>
      </c>
      <c r="I116" s="641">
        <v>0</v>
      </c>
      <c r="J116" s="642">
        <v>96323157</v>
      </c>
      <c r="K116" s="575" t="s">
        <v>1028</v>
      </c>
    </row>
    <row r="117" spans="1:12" ht="18">
      <c r="A117" s="442" t="s">
        <v>241</v>
      </c>
      <c r="B117" s="442" t="s">
        <v>242</v>
      </c>
      <c r="C117" s="443">
        <v>45898</v>
      </c>
      <c r="D117" s="444">
        <v>45898</v>
      </c>
      <c r="E117" s="442" t="s">
        <v>257</v>
      </c>
      <c r="F117" s="643" t="s">
        <v>244</v>
      </c>
      <c r="G117" s="445" t="s">
        <v>258</v>
      </c>
      <c r="H117" s="681">
        <v>5000</v>
      </c>
      <c r="I117" s="645">
        <v>0</v>
      </c>
      <c r="J117" s="646">
        <v>96328157</v>
      </c>
      <c r="K117" s="576" t="s">
        <v>1027</v>
      </c>
      <c r="L117" s="660">
        <f>SUM(H115:H117)</f>
        <v>15000</v>
      </c>
    </row>
    <row r="118" spans="1:12" ht="18">
      <c r="A118" s="615" t="s">
        <v>241</v>
      </c>
      <c r="B118" s="615" t="s">
        <v>242</v>
      </c>
      <c r="C118" s="616">
        <v>45902</v>
      </c>
      <c r="D118" s="617">
        <v>45902</v>
      </c>
      <c r="E118" s="615" t="s">
        <v>257</v>
      </c>
      <c r="F118" s="700" t="s">
        <v>244</v>
      </c>
      <c r="G118" s="700" t="s">
        <v>258</v>
      </c>
      <c r="H118" s="701">
        <v>5000</v>
      </c>
      <c r="I118" s="649">
        <v>0</v>
      </c>
      <c r="J118" s="650">
        <v>96333157</v>
      </c>
      <c r="K118" s="618" t="s">
        <v>1036</v>
      </c>
      <c r="L118" s="702">
        <f>H118</f>
        <v>5000</v>
      </c>
    </row>
    <row r="119" spans="1:12" ht="18">
      <c r="A119" s="615" t="s">
        <v>241</v>
      </c>
      <c r="B119" s="615" t="s">
        <v>242</v>
      </c>
      <c r="C119" s="616">
        <v>45994</v>
      </c>
      <c r="D119" s="617">
        <v>46001</v>
      </c>
      <c r="E119" s="615" t="s">
        <v>247</v>
      </c>
      <c r="F119" s="700" t="s">
        <v>244</v>
      </c>
      <c r="G119" s="700" t="s">
        <v>244</v>
      </c>
      <c r="H119" s="701">
        <v>568797</v>
      </c>
      <c r="I119" s="649">
        <v>0</v>
      </c>
      <c r="J119" s="650">
        <v>96901954</v>
      </c>
      <c r="K119" s="618" t="s">
        <v>1093</v>
      </c>
      <c r="L119" s="702">
        <f>H119</f>
        <v>568797</v>
      </c>
    </row>
    <row r="120" spans="1:12" ht="18">
      <c r="A120" s="615" t="s">
        <v>241</v>
      </c>
      <c r="B120" s="615" t="s">
        <v>242</v>
      </c>
      <c r="C120" s="616">
        <v>46042</v>
      </c>
      <c r="D120" s="617">
        <v>46049</v>
      </c>
      <c r="E120" s="700" t="s">
        <v>1585</v>
      </c>
      <c r="F120" s="700"/>
      <c r="G120" s="700" t="s">
        <v>1581</v>
      </c>
      <c r="H120" s="701">
        <v>61657</v>
      </c>
      <c r="I120" s="649"/>
      <c r="J120" s="650">
        <v>96963611</v>
      </c>
      <c r="K120" s="618" t="s">
        <v>1093</v>
      </c>
      <c r="L120" s="702">
        <v>61657</v>
      </c>
    </row>
    <row r="121" spans="1:12" ht="18">
      <c r="A121" s="615" t="s">
        <v>241</v>
      </c>
      <c r="B121" s="615" t="s">
        <v>242</v>
      </c>
      <c r="C121" s="616">
        <v>46098</v>
      </c>
      <c r="D121" s="617">
        <v>46100</v>
      </c>
      <c r="E121" s="700" t="s">
        <v>247</v>
      </c>
      <c r="F121" s="700" t="s">
        <v>244</v>
      </c>
      <c r="G121" s="700" t="s">
        <v>244</v>
      </c>
      <c r="H121" s="701">
        <v>30390</v>
      </c>
      <c r="I121" s="649">
        <v>0</v>
      </c>
      <c r="J121" s="650">
        <v>96994001</v>
      </c>
      <c r="K121" s="618" t="s">
        <v>1600</v>
      </c>
      <c r="L121" s="725">
        <f>H121</f>
        <v>30390</v>
      </c>
    </row>
    <row r="122" spans="1:12" ht="16.5">
      <c r="A122" s="814" t="s">
        <v>241</v>
      </c>
      <c r="B122" s="814" t="s">
        <v>242</v>
      </c>
      <c r="C122" s="815">
        <v>46136</v>
      </c>
      <c r="D122" s="816">
        <v>46141</v>
      </c>
      <c r="E122" s="814" t="s">
        <v>247</v>
      </c>
      <c r="F122" s="817" t="s">
        <v>244</v>
      </c>
      <c r="G122" s="817" t="s">
        <v>244</v>
      </c>
      <c r="H122" s="646">
        <v>34321</v>
      </c>
      <c r="I122" s="646">
        <v>0</v>
      </c>
      <c r="J122" s="646">
        <v>97028322</v>
      </c>
      <c r="K122" s="814" t="s">
        <v>1600</v>
      </c>
      <c r="L122" s="725">
        <f>H122</f>
        <v>34321</v>
      </c>
    </row>
    <row r="123" spans="1:12" ht="18">
      <c r="A123" s="651" t="s">
        <v>241</v>
      </c>
      <c r="B123" s="651" t="s">
        <v>242</v>
      </c>
      <c r="C123" s="652">
        <v>46146</v>
      </c>
      <c r="D123" s="661">
        <v>46157</v>
      </c>
      <c r="E123" s="651" t="s">
        <v>1862</v>
      </c>
      <c r="F123" s="657" t="s">
        <v>244</v>
      </c>
      <c r="G123" s="653" t="s">
        <v>244</v>
      </c>
      <c r="H123" s="659">
        <v>14450527</v>
      </c>
      <c r="I123" s="641">
        <v>0</v>
      </c>
      <c r="J123" s="659">
        <v>111478849</v>
      </c>
      <c r="K123" s="654" t="s">
        <v>244</v>
      </c>
      <c r="L123" s="655"/>
    </row>
    <row r="124" spans="1:12" ht="18">
      <c r="A124" s="442" t="s">
        <v>241</v>
      </c>
      <c r="B124" s="442" t="s">
        <v>242</v>
      </c>
      <c r="C124" s="443">
        <v>46171</v>
      </c>
      <c r="D124" s="444">
        <v>46171</v>
      </c>
      <c r="E124" s="442" t="s">
        <v>257</v>
      </c>
      <c r="F124" s="658" t="s">
        <v>244</v>
      </c>
      <c r="G124" s="656" t="s">
        <v>258</v>
      </c>
      <c r="H124" s="646">
        <v>10000</v>
      </c>
      <c r="I124" s="645">
        <v>0</v>
      </c>
      <c r="J124" s="646">
        <v>111488849</v>
      </c>
      <c r="K124" s="576" t="s">
        <v>1880</v>
      </c>
      <c r="L124" s="660">
        <f>J124-J122</f>
        <v>14460527</v>
      </c>
    </row>
  </sheetData>
  <pageMargins left="0.39370078740157477" right="0.39370078740157477" top="0.39370078740157477" bottom="1" header="0.5" footer="0.5"/>
  <pageSetup scale="72" fitToHeight="0" pageOrder="overThenDown" orientation="landscape"/>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Detailed Cap Table</vt:lpstr>
      <vt:lpstr>Public Float</vt:lpstr>
      <vt:lpstr>5% Holders</vt:lpstr>
      <vt:lpstr>Stock Price</vt:lpstr>
      <vt:lpstr>Exec. Awards OS</vt:lpstr>
      <vt:lpstr>Option Plans Summary</vt:lpstr>
      <vt:lpstr>Options OS Detail</vt:lpstr>
      <vt:lpstr>2025 BC Subplan Transfer</vt:lpstr>
      <vt:lpstr>2025 BC Subplan Transfer (2)</vt:lpstr>
      <vt:lpstr>Futu BCI (orig)</vt:lpstr>
      <vt:lpstr>Futu BCI Exercises to Date</vt:lpstr>
      <vt:lpstr>Futu sold shares</vt:lpstr>
      <vt:lpstr>Warrants</vt:lpstr>
      <vt:lpstr>EQ Control Book</vt:lpstr>
      <vt:lpstr>EQ SH List</vt:lpstr>
      <vt:lpstr>OpEx new shares in period</vt:lpstr>
      <vt:lpstr>G. CARMICHAEL</vt:lpstr>
      <vt:lpstr>R. CHEN</vt:lpstr>
      <vt:lpstr>T. EASTLING</vt:lpstr>
      <vt:lpstr>D. EPSTEIN</vt:lpstr>
      <vt:lpstr>S. MA</vt:lpstr>
      <vt:lpstr>R. NUSSBAUM</vt:lpstr>
      <vt:lpstr>R. PARRY</vt:lpstr>
      <vt:lpstr>W. YE</vt:lpstr>
      <vt:lpstr>Z. PING</vt:lpstr>
      <vt:lpstr>D. Weng</vt:lpstr>
      <vt:lpstr>Y. LUO</vt:lpstr>
      <vt:lpstr>H. YING</vt:lpstr>
      <vt:lpstr>N. USMAN</vt:lpstr>
      <vt:lpstr>Sheet2</vt:lpstr>
      <vt:lpstr>'Public Float'!Print_Area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Roberta Jones</dc:creator>
  <cp:lastModifiedBy>Samantha Li</cp:lastModifiedBy>
  <dcterms:created xsi:type="dcterms:W3CDTF">2024-06-28T19:28:42Z</dcterms:created>
  <dcterms:modified xsi:type="dcterms:W3CDTF">2026-06-04T00:22:06Z</dcterms:modified>
</cp:coreProperties>
</file>