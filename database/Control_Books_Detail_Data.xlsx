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hidePivotFieldList="1"/>
  <mc:AlternateContent xmlns:mc="http://schemas.openxmlformats.org/markup-compatibility/2006">
    <mc:Choice Requires="x15">
      <x15ac:absPath xmlns:x15ac="http://schemas.microsoft.com/office/spreadsheetml/2010/11/ac" url="/Users/jyxc-dz-0101035/Desktop/captable-merge/database/"/>
    </mc:Choice>
  </mc:AlternateContent>
  <xr:revisionPtr revIDLastSave="0" documentId="8_{1C0C11EF-42CC-2B4E-BFB8-26304F4300B4}" xr6:coauthVersionLast="47" xr6:coauthVersionMax="47" xr10:uidLastSave="{00000000-0000-0000-0000-000000000000}"/>
  <bookViews>
    <workbookView xWindow="4440" yWindow="760" windowWidth="25800" windowHeight="17180" tabRatio="861" xr2:uid="{A6DE0D16-D9C7-44F3-AEB5-C55DE21B91A3}"/>
  </bookViews>
  <sheets>
    <sheet name="EQ Control Book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4" i="1" l="1"/>
  <c r="L122" i="1"/>
  <c r="L121" i="1"/>
  <c r="L119" i="1"/>
  <c r="L118" i="1"/>
  <c r="L117" i="1"/>
  <c r="L114" i="1"/>
  <c r="L112" i="1"/>
  <c r="L110" i="1"/>
  <c r="L109" i="1"/>
  <c r="L98" i="1"/>
  <c r="L90" i="1"/>
  <c r="L78" i="1"/>
  <c r="L73" i="1"/>
  <c r="L71" i="1"/>
  <c r="L58" i="1"/>
  <c r="L51" i="1"/>
  <c r="L48" i="1"/>
  <c r="L32" i="1"/>
  <c r="L30" i="1"/>
  <c r="L25" i="1"/>
  <c r="L21" i="1"/>
  <c r="J8" i="1"/>
</calcChain>
</file>

<file path=xl/sharedStrings.xml><?xml version="1.0" encoding="utf-8"?>
<sst xmlns="http://schemas.openxmlformats.org/spreadsheetml/2006/main" count="668" uniqueCount="135">
  <si>
    <t>EQUINITI CONTROL BOOK DETAIL</t>
  </si>
  <si>
    <t>Issuer Name: GYRE THERAPEUTICS, INC.</t>
  </si>
  <si>
    <t>Security Name: GYRE THERAPEUTICS INC (NEW)</t>
  </si>
  <si>
    <t>Control Books</t>
  </si>
  <si>
    <t>Security ID</t>
  </si>
  <si>
    <t>Security</t>
  </si>
  <si>
    <t>As of Date</t>
  </si>
  <si>
    <t>Process Date</t>
  </si>
  <si>
    <t>Trans. Type</t>
  </si>
  <si>
    <t>Trans. No.</t>
  </si>
  <si>
    <t>Broker No.</t>
  </si>
  <si>
    <t>Shares Issued</t>
  </si>
  <si>
    <t>Shares Retired</t>
  </si>
  <si>
    <t>Issued &amp; Outstanding</t>
  </si>
  <si>
    <t>Comment</t>
  </si>
  <si>
    <t>Net Shares issued in Period</t>
  </si>
  <si>
    <t>27591</t>
  </si>
  <si>
    <t>GYRE</t>
  </si>
  <si>
    <t>Agreement</t>
  </si>
  <si>
    <t>-</t>
  </si>
  <si>
    <t>Issues to 4 China SH</t>
  </si>
  <si>
    <t>Lan Ping per 11/16/2023 TA inst ltr</t>
  </si>
  <si>
    <t>O.I.</t>
  </si>
  <si>
    <t>B/C  14689 Targacept</t>
  </si>
  <si>
    <t>B/C  20290 Catalyst Old Old unexchanged</t>
  </si>
  <si>
    <t>B/C  21328 Catalyst pre-merger post split</t>
  </si>
  <si>
    <t>Retirement</t>
  </si>
  <si>
    <t>Fractions paid out DTC</t>
  </si>
  <si>
    <t>Cede-Fast DWAC</t>
  </si>
  <si>
    <t>OpEx R. Jones</t>
  </si>
  <si>
    <t>OpEx E. Williams</t>
  </si>
  <si>
    <t>OpEx A. Hunt</t>
  </si>
  <si>
    <t>CEDE-FAST</t>
  </si>
  <si>
    <t>0015</t>
  </si>
  <si>
    <t>OpEx P. Scarpulla</t>
  </si>
  <si>
    <t>GNI conversion Preferred X</t>
  </si>
  <si>
    <t>OpEx T. Colton</t>
  </si>
  <si>
    <t>GYRE THERAPEUTICS INC (NEW)</t>
  </si>
  <si>
    <t>DIR # CA 4 McClennan &amp; De Souza</t>
  </si>
  <si>
    <t>DIR # CA 5 McClennan &amp; De Souza</t>
  </si>
  <si>
    <t>DIR # CA 6 McClennan &amp; De Souza</t>
  </si>
  <si>
    <t>DIR # CA 7 McClennan &amp; De Souza</t>
  </si>
  <si>
    <t>DIR # CA 8 McClennan &amp; De Souza</t>
  </si>
  <si>
    <t>DIR # CA 9 McClennan</t>
  </si>
  <si>
    <t>DIR # CA 10  Usman 10b5</t>
  </si>
  <si>
    <t>DIR # CA 11 Wu (from March)</t>
  </si>
  <si>
    <t>DIR # CA 12 Usman</t>
  </si>
  <si>
    <t>DIR # CA 13 Wu</t>
  </si>
  <si>
    <t>DIR # CA 14 Wu (729 sh) McLennan (2,000 sh)</t>
  </si>
  <si>
    <t>DIR # CA 15 Wu</t>
  </si>
  <si>
    <t>DIR # CA 16 (Wu 1,412) McLennan (2,000)</t>
  </si>
  <si>
    <t>DIR # CA 17 Wu</t>
  </si>
  <si>
    <t>DIR # CA 18 Wu</t>
  </si>
  <si>
    <t>DIR # CA 19 Wu</t>
  </si>
  <si>
    <t>DIR # CA 20 (McLennan 1,700)(Wu 4,657)</t>
  </si>
  <si>
    <t>DIR #: CA 21 McLennan</t>
  </si>
  <si>
    <t>DIR # CA 22 (McLennan 4,315)(Wu 6,000)</t>
  </si>
  <si>
    <t>DIR # CA 23 (McLennan 656)(Wu 1,265)</t>
  </si>
  <si>
    <t>DIR # CA 24 Wu</t>
  </si>
  <si>
    <t>DIR # CA 25 Wu</t>
  </si>
  <si>
    <t>DIR # CA 26 Wu</t>
  </si>
  <si>
    <t>DIR # CA 27 Usman</t>
  </si>
  <si>
    <t>DIR # CA 28 (McLennan 100)(Wu 3,800)</t>
  </si>
  <si>
    <t>DIR # CA 29 Wu</t>
  </si>
  <si>
    <t>DIR# CA 36 Wu</t>
  </si>
  <si>
    <t>DIR # CA 31 (McLennan 2,938)(Wu 2,471)</t>
  </si>
  <si>
    <t>DIR # CA 32 (McLennan 312)(Wu 200)</t>
  </si>
  <si>
    <t>DIR # CA 33 (McLennan 400)(Wu 311)</t>
  </si>
  <si>
    <t>DIR # CA 34 (McLennan 2,143)(Wu 2,018)</t>
  </si>
  <si>
    <t>DIR # CA 35 Wu</t>
  </si>
  <si>
    <t>DIR # CA 30 (McLennan 900)(Wu 9,792)</t>
  </si>
  <si>
    <t>Equity Inc.Sub-Pl. Futu Network Technology</t>
  </si>
  <si>
    <t>DIR # CA 38 Usman</t>
  </si>
  <si>
    <t>DIR #: CA 39 Usman</t>
  </si>
  <si>
    <t>DIR # CA 40 Usman</t>
  </si>
  <si>
    <t>DIR # CA 41 Wu</t>
  </si>
  <si>
    <t>DIR #: CA 42 Wu</t>
  </si>
  <si>
    <t>DIR # CA 46 Usman</t>
  </si>
  <si>
    <t>DIR # CA 47 Usman</t>
  </si>
  <si>
    <t>DIR # CA 48 Wu</t>
  </si>
  <si>
    <t>DIR # CA 44 (Wu 7,500) (Usman 4,900)</t>
  </si>
  <si>
    <t>DIR #: CA 43 Wu</t>
  </si>
  <si>
    <t>DIR # CA 45 (Wu 5,000) (Usman 100)</t>
  </si>
  <si>
    <t>DIR #: CA 37 (Wu 12,935) (Usman 3,452)</t>
  </si>
  <si>
    <t>DIR # CA 49 Wu</t>
  </si>
  <si>
    <t>DIR # CA 50 Wu</t>
  </si>
  <si>
    <t>DIR # CA 51 Wu</t>
  </si>
  <si>
    <t>DIR # CA 52 Wu</t>
  </si>
  <si>
    <t>DIR # CA 53 Wu</t>
  </si>
  <si>
    <t>DIR # CA 54 Wu</t>
  </si>
  <si>
    <t>DIR # CA 55 Wu</t>
  </si>
  <si>
    <t>DIR # CA 56 Usman</t>
  </si>
  <si>
    <t>DIR # CA 57 (Usman 1,500) ( Charles 3,521)</t>
  </si>
  <si>
    <t>DIR # CA 58 Charles</t>
  </si>
  <si>
    <t>DIR # CA 59 (Usman 2,000) ( Charles 3,050)</t>
  </si>
  <si>
    <t>DIR # CA 60 (Usman 2,000) ( Charles 587)</t>
  </si>
  <si>
    <t>DIR # CA 61 Charles</t>
  </si>
  <si>
    <t>DIR # CA 62 Charles</t>
  </si>
  <si>
    <t>DIR # CA 63 (Usman 2,000) ( Charles 180)</t>
  </si>
  <si>
    <t>DIR # CA 64 Usman</t>
  </si>
  <si>
    <t>DIR # CA 65 Usman</t>
  </si>
  <si>
    <t>DIR # CA 66 (Usman 2,000) ( Charles 2,968)</t>
  </si>
  <si>
    <t>DIR # CA 67  (Usman 2,000) ( Charles 2,180)</t>
  </si>
  <si>
    <t xml:space="preserve">GYRE </t>
  </si>
  <si>
    <t>DIR # CA 69 (Usman 2,000) ( Charles 1,200)</t>
  </si>
  <si>
    <t>DIR # CA 70 (Charles 1,922)</t>
  </si>
  <si>
    <t>DIR # CA 71 (Usman 1,000)</t>
  </si>
  <si>
    <t>DIR #: CA 72 (Usman 3,000)</t>
  </si>
  <si>
    <t>DIR # CA 73 (Usman 1,104)</t>
  </si>
  <si>
    <t>DIR # CA 74 (Usman 3,896) (Charles 5,000)</t>
  </si>
  <si>
    <t>DIR # CA 75 (Usman 1,445) (Errol 400)</t>
  </si>
  <si>
    <t>DIR # CA 68 (Usman 2,000) (Charles 1,100)</t>
  </si>
  <si>
    <t>0019</t>
  </si>
  <si>
    <t>ATM</t>
  </si>
  <si>
    <t>DIR # CA 76 (Lin Han,2000)</t>
  </si>
  <si>
    <t>DIR # CA 77 (Lin Han, 8000)</t>
  </si>
  <si>
    <t>DIR # CA 79 (Eastling 15,000)</t>
  </si>
  <si>
    <t>DIR # CA 78 (Seline Miller 75,426)</t>
  </si>
  <si>
    <t>Cede-Fast</t>
  </si>
  <si>
    <t>Pro sup</t>
  </si>
  <si>
    <t>Greenshoes proceeds</t>
  </si>
  <si>
    <t>DIR # CA 80 (Lin Han, 5000)</t>
  </si>
  <si>
    <t>DIR # CA 82 (Lin Han, 5000)</t>
  </si>
  <si>
    <t>DIR # CA 81 (Lin Han, 5000)</t>
  </si>
  <si>
    <t>DIR # CA 83 (Lin Han, 5000)</t>
  </si>
  <si>
    <t>Omnibus Inc. Pl.</t>
  </si>
  <si>
    <t>0000010072</t>
  </si>
  <si>
    <t>BOOK ENTRY ISSUANCE</t>
  </si>
  <si>
    <t>Records: 1</t>
  </si>
  <si>
    <t>Omnibus Inc. Pl</t>
  </si>
  <si>
    <t>Report Date &amp; Time: 13-May-2026 16:52</t>
  </si>
  <si>
    <t>01-Apr-2026 to 30-Apr-2026</t>
  </si>
  <si>
    <t>Balance Prior to 24-Apr-2026: 96,994,001.000</t>
  </si>
  <si>
    <t>Agr. &amp; Pl. of Merger</t>
  </si>
  <si>
    <t>DIR # CA 84 Lin 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</si>
</sst>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76" formatCode="_(&quot;$&quot;* #,##0.00_);_(&quot;$&quot;* \(#,##0.00\);_(&quot;$&quot;* &quot;-&quot;??_);_(@_)"/>
    <numFmt numFmtId="179" formatCode="_(* #,##0_);_(* \(#,##0\);_(* &quot;-&quot;??_);_(@_)"/>
    <numFmt numFmtId="182" formatCode="dd\-mmm\-yyyy"/>
    <numFmt numFmtId="189" formatCode="#,##0;[Red]\(#,##0\)"/>
  </numFmts>
  <fonts count="22">
    <font>
      <sz val="10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name val="Arial"/>
      <family val="2"/>
    </font>
    <font>
      <b/>
      <sz val="12"/>
      <color theme="1"/>
      <name val="等线"/>
      <family val="2"/>
      <scheme val="minor"/>
    </font>
    <font>
      <sz val="11"/>
      <color theme="1"/>
      <name val="Calibri"/>
      <family val="2"/>
    </font>
    <font>
      <b/>
      <sz val="22"/>
      <color rgb="FFFF0000"/>
      <name val="ADLaM Display"/>
    </font>
    <font>
      <sz val="12"/>
      <color theme="1"/>
      <name val="Open Sans"/>
      <family val="2"/>
    </font>
    <font>
      <b/>
      <sz val="11"/>
      <color rgb="FF44546A"/>
      <name val="Open Sans"/>
      <family val="2"/>
    </font>
    <font>
      <sz val="12"/>
      <name val="Open Sans"/>
      <family val="2"/>
    </font>
    <font>
      <b/>
      <sz val="12"/>
      <color theme="1"/>
      <name val="Open Sans"/>
      <family val="2"/>
    </font>
    <font>
      <sz val="12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Open Sans"/>
      <family val="2"/>
    </font>
    <font>
      <sz val="12"/>
      <color theme="1"/>
      <name val="Arial"/>
      <family val="2"/>
    </font>
    <font>
      <sz val="11"/>
      <color theme="1"/>
      <name val="Open Sans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41D40"/>
      </bottom>
      <diagonal/>
    </border>
    <border>
      <left/>
      <right/>
      <top style="thin">
        <color auto="1"/>
      </top>
      <bottom/>
      <diagonal/>
    </border>
  </borders>
  <cellStyleXfs count="21">
    <xf numFmtId="0" fontId="0" fillId="0" borderId="0"/>
    <xf numFmtId="43" fontId="4" fillId="0" borderId="0" applyFont="0" applyFill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4" fillId="0" borderId="0"/>
    <xf numFmtId="3" fontId="2" fillId="0" borderId="0"/>
    <xf numFmtId="0" fontId="6" fillId="0" borderId="0"/>
    <xf numFmtId="0" fontId="8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17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6" fillId="0" borderId="0"/>
    <xf numFmtId="41" fontId="4" fillId="0" borderId="0" applyFont="0" applyFill="0" applyBorder="0" applyAlignment="0" applyProtection="0"/>
    <xf numFmtId="0" fontId="15" fillId="0" borderId="0"/>
    <xf numFmtId="0" fontId="20" fillId="0" borderId="0"/>
    <xf numFmtId="43" fontId="6" fillId="0" borderId="0" applyFont="0" applyFill="0" applyBorder="0" applyAlignment="0" applyProtection="0"/>
  </cellStyleXfs>
  <cellXfs count="96">
    <xf numFmtId="0" fontId="0" fillId="0" borderId="0" xfId="0"/>
    <xf numFmtId="0" fontId="4" fillId="0" borderId="0" xfId="5"/>
    <xf numFmtId="179" fontId="4" fillId="0" borderId="0" xfId="5" applyNumberFormat="1"/>
    <xf numFmtId="0" fontId="9" fillId="0" borderId="0" xfId="5" applyFont="1" applyAlignment="1">
      <alignment horizontal="left" vertical="center"/>
    </xf>
    <xf numFmtId="0" fontId="4" fillId="0" borderId="0" xfId="5" applyAlignment="1">
      <alignment horizontal="center"/>
    </xf>
    <xf numFmtId="0" fontId="11" fillId="0" borderId="4" xfId="5" applyFont="1" applyBorder="1" applyAlignment="1">
      <alignment horizontal="left" wrapText="1"/>
    </xf>
    <xf numFmtId="0" fontId="11" fillId="0" borderId="4" xfId="5" applyFont="1" applyBorder="1" applyAlignment="1">
      <alignment horizontal="center" wrapText="1"/>
    </xf>
    <xf numFmtId="0" fontId="4" fillId="0" borderId="0" xfId="5" applyAlignment="1">
      <alignment wrapText="1"/>
    </xf>
    <xf numFmtId="0" fontId="10" fillId="0" borderId="0" xfId="5" applyFont="1" applyAlignment="1">
      <alignment horizontal="left" vertical="top" wrapText="1"/>
    </xf>
    <xf numFmtId="182" fontId="10" fillId="0" borderId="0" xfId="5" applyNumberFormat="1" applyFont="1" applyAlignment="1">
      <alignment horizontal="left" vertical="top"/>
    </xf>
    <xf numFmtId="182" fontId="10" fillId="0" borderId="0" xfId="5" applyNumberFormat="1" applyFont="1" applyAlignment="1">
      <alignment horizontal="center" vertical="top"/>
    </xf>
    <xf numFmtId="0" fontId="10" fillId="0" borderId="0" xfId="5" applyFont="1" applyAlignment="1">
      <alignment horizontal="right" vertical="top"/>
    </xf>
    <xf numFmtId="179" fontId="10" fillId="0" borderId="0" xfId="1" applyNumberFormat="1" applyFont="1" applyAlignment="1">
      <alignment horizontal="right" vertical="top"/>
    </xf>
    <xf numFmtId="179" fontId="12" fillId="0" borderId="0" xfId="1" applyNumberFormat="1" applyFont="1" applyFill="1" applyAlignment="1">
      <alignment horizontal="right" vertical="top"/>
    </xf>
    <xf numFmtId="0" fontId="10" fillId="0" borderId="2" xfId="5" applyFont="1" applyBorder="1" applyAlignment="1">
      <alignment horizontal="left" vertical="top" wrapText="1"/>
    </xf>
    <xf numFmtId="182" fontId="10" fillId="0" borderId="2" xfId="5" applyNumberFormat="1" applyFont="1" applyBorder="1" applyAlignment="1">
      <alignment horizontal="left" vertical="top"/>
    </xf>
    <xf numFmtId="182" fontId="10" fillId="0" borderId="2" xfId="5" applyNumberFormat="1" applyFont="1" applyBorder="1" applyAlignment="1">
      <alignment horizontal="center" vertical="top"/>
    </xf>
    <xf numFmtId="0" fontId="10" fillId="0" borderId="2" xfId="5" applyFont="1" applyBorder="1" applyAlignment="1">
      <alignment horizontal="right" vertical="top"/>
    </xf>
    <xf numFmtId="179" fontId="10" fillId="0" borderId="2" xfId="1" applyNumberFormat="1" applyFont="1" applyBorder="1" applyAlignment="1">
      <alignment horizontal="right" vertical="top"/>
    </xf>
    <xf numFmtId="179" fontId="13" fillId="0" borderId="2" xfId="1" applyNumberFormat="1" applyFont="1" applyBorder="1" applyAlignment="1">
      <alignment horizontal="right" vertical="top"/>
    </xf>
    <xf numFmtId="0" fontId="4" fillId="0" borderId="2" xfId="5" applyBorder="1"/>
    <xf numFmtId="179" fontId="4" fillId="0" borderId="2" xfId="5" applyNumberFormat="1" applyBorder="1"/>
    <xf numFmtId="179" fontId="10" fillId="0" borderId="2" xfId="1" applyNumberFormat="1" applyFont="1" applyFill="1" applyBorder="1" applyAlignment="1">
      <alignment horizontal="right" vertical="top"/>
    </xf>
    <xf numFmtId="0" fontId="3" fillId="0" borderId="0" xfId="3"/>
    <xf numFmtId="179" fontId="3" fillId="0" borderId="0" xfId="1" applyNumberFormat="1" applyFont="1"/>
    <xf numFmtId="0" fontId="3" fillId="0" borderId="0" xfId="3" applyAlignment="1">
      <alignment horizontal="center"/>
    </xf>
    <xf numFmtId="0" fontId="3" fillId="0" borderId="0" xfId="3" applyAlignment="1">
      <alignment horizontal="left" indent="1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right" vertical="top"/>
    </xf>
    <xf numFmtId="179" fontId="4" fillId="0" borderId="0" xfId="1" applyNumberFormat="1"/>
    <xf numFmtId="182" fontId="10" fillId="0" borderId="0" xfId="0" applyNumberFormat="1" applyFont="1" applyAlignment="1">
      <alignment horizontal="left" vertical="top"/>
    </xf>
    <xf numFmtId="182" fontId="10" fillId="0" borderId="0" xfId="0" applyNumberFormat="1" applyFont="1" applyAlignment="1">
      <alignment horizontal="right" vertical="top"/>
    </xf>
    <xf numFmtId="43" fontId="4" fillId="0" borderId="0" xfId="1"/>
    <xf numFmtId="43" fontId="11" fillId="0" borderId="4" xfId="1" applyFont="1" applyBorder="1" applyAlignment="1">
      <alignment horizontal="center" wrapText="1"/>
    </xf>
    <xf numFmtId="43" fontId="10" fillId="0" borderId="0" xfId="1" applyFont="1" applyAlignment="1">
      <alignment horizontal="right" vertical="top"/>
    </xf>
    <xf numFmtId="43" fontId="3" fillId="0" borderId="0" xfId="1" applyFont="1"/>
    <xf numFmtId="179" fontId="11" fillId="0" borderId="4" xfId="1" applyNumberFormat="1" applyFont="1" applyBorder="1" applyAlignment="1">
      <alignment horizontal="center" wrapText="1"/>
    </xf>
    <xf numFmtId="43" fontId="10" fillId="0" borderId="2" xfId="1" applyFont="1" applyBorder="1" applyAlignment="1">
      <alignment horizontal="right" vertical="top"/>
    </xf>
    <xf numFmtId="0" fontId="10" fillId="0" borderId="2" xfId="0" applyFont="1" applyBorder="1" applyAlignment="1">
      <alignment horizontal="left" vertical="top" wrapText="1"/>
    </xf>
    <xf numFmtId="182" fontId="10" fillId="0" borderId="2" xfId="0" applyNumberFormat="1" applyFont="1" applyBorder="1" applyAlignment="1">
      <alignment horizontal="left" vertical="top"/>
    </xf>
    <xf numFmtId="182" fontId="10" fillId="0" borderId="2" xfId="0" applyNumberFormat="1" applyFont="1" applyBorder="1" applyAlignment="1">
      <alignment horizontal="right" vertical="top"/>
    </xf>
    <xf numFmtId="0" fontId="10" fillId="0" borderId="2" xfId="0" applyFont="1" applyBorder="1" applyAlignment="1">
      <alignment horizontal="right" vertical="top"/>
    </xf>
    <xf numFmtId="0" fontId="0" fillId="0" borderId="2" xfId="0" applyBorder="1"/>
    <xf numFmtId="179" fontId="10" fillId="0" borderId="0" xfId="1" applyNumberFormat="1" applyFont="1" applyFill="1" applyAlignment="1">
      <alignment horizontal="right" vertical="top"/>
    </xf>
    <xf numFmtId="179" fontId="14" fillId="0" borderId="2" xfId="0" applyNumberFormat="1" applyFont="1" applyBorder="1"/>
    <xf numFmtId="179" fontId="14" fillId="0" borderId="2" xfId="1" applyNumberFormat="1" applyFont="1" applyFill="1" applyBorder="1"/>
    <xf numFmtId="189" fontId="10" fillId="0" borderId="0" xfId="0" applyNumberFormat="1" applyFont="1" applyAlignment="1">
      <alignment horizontal="right" vertical="top"/>
    </xf>
    <xf numFmtId="189" fontId="10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7" fillId="0" borderId="0" xfId="3" applyFont="1"/>
    <xf numFmtId="0" fontId="17" fillId="0" borderId="2" xfId="3" applyFont="1" applyBorder="1"/>
    <xf numFmtId="0" fontId="10" fillId="0" borderId="3" xfId="0" applyFont="1" applyBorder="1" applyAlignment="1">
      <alignment horizontal="left" vertical="top" wrapText="1"/>
    </xf>
    <xf numFmtId="182" fontId="10" fillId="0" borderId="3" xfId="0" applyNumberFormat="1" applyFont="1" applyBorder="1" applyAlignment="1">
      <alignment horizontal="left" vertical="top"/>
    </xf>
    <xf numFmtId="182" fontId="10" fillId="0" borderId="3" xfId="0" applyNumberFormat="1" applyFont="1" applyBorder="1" applyAlignment="1">
      <alignment horizontal="right" vertical="top"/>
    </xf>
    <xf numFmtId="0" fontId="16" fillId="0" borderId="3" xfId="0" applyFont="1" applyBorder="1" applyAlignment="1">
      <alignment horizontal="left" vertical="top" wrapText="1"/>
    </xf>
    <xf numFmtId="0" fontId="19" fillId="0" borderId="0" xfId="3" applyFont="1"/>
    <xf numFmtId="179" fontId="19" fillId="0" borderId="0" xfId="1" applyNumberFormat="1" applyFont="1"/>
    <xf numFmtId="43" fontId="19" fillId="0" borderId="0" xfId="1" applyFont="1"/>
    <xf numFmtId="189" fontId="18" fillId="0" borderId="0" xfId="0" applyNumberFormat="1" applyFont="1" applyAlignment="1">
      <alignment horizontal="right" vertical="top"/>
    </xf>
    <xf numFmtId="0" fontId="19" fillId="0" borderId="2" xfId="3" applyFont="1" applyBorder="1"/>
    <xf numFmtId="179" fontId="19" fillId="0" borderId="2" xfId="1" applyNumberFormat="1" applyFont="1" applyBorder="1"/>
    <xf numFmtId="43" fontId="19" fillId="0" borderId="2" xfId="1" applyFont="1" applyBorder="1"/>
    <xf numFmtId="189" fontId="18" fillId="0" borderId="2" xfId="0" applyNumberFormat="1" applyFont="1" applyBorder="1" applyAlignment="1">
      <alignment horizontal="right" vertical="top"/>
    </xf>
    <xf numFmtId="0" fontId="19" fillId="0" borderId="3" xfId="3" applyFont="1" applyBorder="1"/>
    <xf numFmtId="0" fontId="18" fillId="0" borderId="3" xfId="0" applyFont="1" applyBorder="1" applyAlignment="1">
      <alignment horizontal="right" vertical="top"/>
    </xf>
    <xf numFmtId="43" fontId="19" fillId="0" borderId="3" xfId="1" applyFont="1" applyBorder="1"/>
    <xf numFmtId="189" fontId="18" fillId="0" borderId="3" xfId="0" applyNumberFormat="1" applyFont="1" applyBorder="1" applyAlignment="1">
      <alignment horizontal="right" vertical="top"/>
    </xf>
    <xf numFmtId="0" fontId="10" fillId="0" borderId="5" xfId="0" applyFont="1" applyBorder="1" applyAlignment="1">
      <alignment horizontal="left" vertical="top" wrapText="1"/>
    </xf>
    <xf numFmtId="182" fontId="10" fillId="0" borderId="5" xfId="0" applyNumberFormat="1" applyFont="1" applyBorder="1" applyAlignment="1">
      <alignment horizontal="left" vertical="top"/>
    </xf>
    <xf numFmtId="0" fontId="16" fillId="0" borderId="5" xfId="0" applyFont="1" applyBorder="1" applyAlignment="1">
      <alignment horizontal="right" vertical="top"/>
    </xf>
    <xf numFmtId="0" fontId="16" fillId="0" borderId="5" xfId="0" applyFont="1" applyBorder="1" applyAlignment="1">
      <alignment horizontal="left" vertical="top" wrapText="1"/>
    </xf>
    <xf numFmtId="0" fontId="3" fillId="0" borderId="5" xfId="3" applyBorder="1" applyAlignment="1">
      <alignment horizontal="left" indent="1"/>
    </xf>
    <xf numFmtId="0" fontId="16" fillId="0" borderId="2" xfId="0" applyFont="1" applyBorder="1" applyAlignment="1">
      <alignment horizontal="right" vertical="top"/>
    </xf>
    <xf numFmtId="0" fontId="16" fillId="0" borderId="5" xfId="0" applyFont="1" applyBorder="1" applyAlignment="1">
      <alignment horizontal="left" vertical="top"/>
    </xf>
    <xf numFmtId="0" fontId="16" fillId="0" borderId="2" xfId="0" applyFont="1" applyBorder="1" applyAlignment="1">
      <alignment horizontal="left" vertical="top"/>
    </xf>
    <xf numFmtId="189" fontId="18" fillId="0" borderId="5" xfId="0" applyNumberFormat="1" applyFont="1" applyBorder="1" applyAlignment="1">
      <alignment horizontal="right" vertical="top"/>
    </xf>
    <xf numFmtId="189" fontId="19" fillId="0" borderId="2" xfId="3" applyNumberFormat="1" applyFont="1" applyBorder="1" applyAlignment="1">
      <alignment horizontal="right" indent="1"/>
    </xf>
    <xf numFmtId="182" fontId="10" fillId="0" borderId="5" xfId="0" applyNumberFormat="1" applyFont="1" applyBorder="1" applyAlignment="1">
      <alignment horizontal="right" vertical="top"/>
    </xf>
    <xf numFmtId="0" fontId="10" fillId="0" borderId="2" xfId="0" applyFont="1" applyBorder="1" applyAlignment="1">
      <alignment horizontal="left" vertical="top"/>
    </xf>
    <xf numFmtId="179" fontId="7" fillId="2" borderId="3" xfId="5" applyNumberFormat="1" applyFont="1" applyFill="1" applyBorder="1"/>
    <xf numFmtId="179" fontId="19" fillId="0" borderId="0" xfId="1" applyNumberFormat="1" applyFont="1" applyAlignment="1">
      <alignment horizontal="right"/>
    </xf>
    <xf numFmtId="179" fontId="19" fillId="0" borderId="2" xfId="1" applyNumberFormat="1" applyFont="1" applyBorder="1" applyAlignment="1">
      <alignment horizontal="right"/>
    </xf>
    <xf numFmtId="0" fontId="10" fillId="0" borderId="3" xfId="0" applyFont="1" applyBorder="1" applyAlignment="1">
      <alignment horizontal="right" vertical="top"/>
    </xf>
    <xf numFmtId="179" fontId="19" fillId="0" borderId="3" xfId="1" applyNumberFormat="1" applyFont="1" applyBorder="1" applyAlignment="1">
      <alignment horizontal="right"/>
    </xf>
    <xf numFmtId="189" fontId="3" fillId="0" borderId="3" xfId="3" applyNumberFormat="1" applyBorder="1" applyAlignment="1">
      <alignment horizontal="right" indent="1"/>
    </xf>
    <xf numFmtId="179" fontId="3" fillId="0" borderId="3" xfId="3" applyNumberFormat="1" applyBorder="1" applyAlignment="1">
      <alignment horizontal="left" indent="1"/>
    </xf>
    <xf numFmtId="0" fontId="18" fillId="0" borderId="2" xfId="0" applyFont="1" applyBorder="1" applyAlignment="1">
      <alignment horizontal="left" vertical="top" wrapText="1"/>
    </xf>
    <xf numFmtId="182" fontId="18" fillId="0" borderId="2" xfId="0" applyNumberFormat="1" applyFont="1" applyBorder="1" applyAlignment="1">
      <alignment horizontal="left" vertical="top"/>
    </xf>
    <xf numFmtId="182" fontId="18" fillId="0" borderId="2" xfId="0" applyNumberFormat="1" applyFont="1" applyBorder="1" applyAlignment="1">
      <alignment horizontal="right" vertical="top"/>
    </xf>
    <xf numFmtId="0" fontId="18" fillId="0" borderId="2" xfId="0" applyFont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 wrapText="1"/>
    </xf>
  </cellXfs>
  <cellStyles count="21">
    <cellStyle name="Comma [0] 2" xfId="17" xr:uid="{B2A16DF7-9FFD-44CB-9BB4-0FE12E2273C1}"/>
    <cellStyle name="Comma 2" xfId="14" xr:uid="{3B740CC3-0315-4034-B510-B4024C2FB416}"/>
    <cellStyle name="Comma 3" xfId="9" xr:uid="{A98F22E6-97CB-4AEA-9A75-CDF410B10B44}"/>
    <cellStyle name="Comma 4" xfId="20" xr:uid="{E95D0DFA-D654-4EA6-A903-B10D90F3B2A8}"/>
    <cellStyle name="Currency 2" xfId="13" xr:uid="{2FCD3E3C-82C4-485B-9130-88B9959EF6CE}"/>
    <cellStyle name="Currency 3" xfId="10" xr:uid="{686E119F-0A04-454E-A05B-F79096BD171F}"/>
    <cellStyle name="Normal 10" xfId="18" xr:uid="{FD2ECA3C-FB34-4376-B091-87C7ECAD7A77}"/>
    <cellStyle name="Normal 132 2" xfId="2" xr:uid="{5A8B51AF-651E-44CF-9634-A8E98DA16C50}"/>
    <cellStyle name="Normal 133 2" xfId="7" xr:uid="{3A3C700E-1124-458A-B3AC-EBD4770480DB}"/>
    <cellStyle name="Normal 2" xfId="5" xr:uid="{447FDE0A-9EE7-4526-9D75-E62DCBAC32FF}"/>
    <cellStyle name="Normal 2 2" xfId="15" xr:uid="{B382B866-52A1-4064-9D36-C1F49FF2B1EC}"/>
    <cellStyle name="Normal 2 2 144" xfId="6" xr:uid="{16877E4F-D265-4959-805C-7A06794D92AD}"/>
    <cellStyle name="Normal 3" xfId="19" xr:uid="{BCCE1406-9F31-4553-A4C0-5A700BA1F753}"/>
    <cellStyle name="Normal 4" xfId="3" xr:uid="{C9C1056A-666C-4461-8618-B3B03037071A}"/>
    <cellStyle name="Normal 5" xfId="12" xr:uid="{E56F6E51-FC87-4820-BFD5-3408F8C84FFC}"/>
    <cellStyle name="Normal 6" xfId="8" xr:uid="{44DF3739-A08C-4036-88D4-6945EADCA467}"/>
    <cellStyle name="Normal 7" xfId="16" xr:uid="{F3881F91-8D72-4CC3-A76F-636CE9DBE337}"/>
    <cellStyle name="Percent 3" xfId="11" xr:uid="{EF2BE004-AAE6-406E-9CBE-0C6D751A08B5}"/>
    <cellStyle name="Total 6" xfId="4" xr:uid="{FA85E810-1A03-428E-9661-1A32C65E72C0}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topLeftCell="A29" workbookViewId="0">
      <selection sqref="A1:XFD1048576"/>
    </sheetView>
  </sheetViews>
  <sheetFormatPr baseColWidth="10" defaultColWidth="9" defaultRowHeight="13"/>
  <cols>
    <col min="1" max="1" width="8.19921875" style="23" bestFit="1" customWidth="1"/>
    <col min="2" max="2" width="11.19921875" style="24" bestFit="1" customWidth="1"/>
    <col min="3" max="3" width="16.3984375" style="23" bestFit="1" customWidth="1"/>
    <col min="4" max="4" width="16.3984375" style="25" bestFit="1" customWidth="1"/>
    <col min="5" max="5" width="30" style="23" bestFit="1" customWidth="1"/>
    <col min="6" max="6" width="2" style="23" bestFit="1" customWidth="1"/>
    <col min="7" max="7" width="6.796875" style="23" bestFit="1" customWidth="1"/>
    <col min="8" max="8" width="21.59765625" style="24" bestFit="1" customWidth="1"/>
    <col min="9" max="9" width="10.19921875" style="36" bestFit="1" customWidth="1"/>
    <col min="10" max="10" width="23.19921875" style="24" bestFit="1" customWidth="1"/>
    <col min="11" max="11" width="41.59765625" style="23" bestFit="1" customWidth="1"/>
    <col min="12" max="12" width="14.19921875" style="26" bestFit="1" customWidth="1"/>
    <col min="13" max="16384" width="9" style="23"/>
  </cols>
  <sheetData>
    <row r="1" spans="1:12" s="1" customFormat="1" ht="65.25" customHeight="1">
      <c r="A1" s="3" t="s">
        <v>0</v>
      </c>
      <c r="D1" s="4"/>
      <c r="H1" s="30"/>
      <c r="I1" s="33"/>
      <c r="J1" s="30"/>
    </row>
    <row r="2" spans="1:12" s="1" customFormat="1" ht="19" customHeight="1">
      <c r="A2" s="27" t="s">
        <v>1</v>
      </c>
      <c r="D2" s="4"/>
      <c r="H2" s="30"/>
      <c r="I2" s="33"/>
      <c r="J2" s="30"/>
      <c r="L2" s="30"/>
    </row>
    <row r="3" spans="1:12" s="1" customFormat="1" ht="19" customHeight="1">
      <c r="A3" s="27" t="s">
        <v>2</v>
      </c>
      <c r="D3" s="4"/>
      <c r="H3" s="30"/>
      <c r="I3" s="33"/>
      <c r="J3" s="30"/>
      <c r="L3" s="30"/>
    </row>
    <row r="4" spans="1:12" s="1" customFormat="1" ht="19" customHeight="1">
      <c r="A4" s="27" t="s">
        <v>3</v>
      </c>
      <c r="D4" s="4"/>
      <c r="H4" s="30"/>
      <c r="I4" s="33"/>
      <c r="J4" s="30"/>
      <c r="L4" s="30"/>
    </row>
    <row r="5" spans="1:12" s="1" customFormat="1" ht="19" customHeight="1">
      <c r="A5" s="27" t="s">
        <v>130</v>
      </c>
      <c r="D5" s="4"/>
      <c r="H5" s="30"/>
      <c r="I5" s="33"/>
      <c r="J5" s="30"/>
      <c r="L5" s="30"/>
    </row>
    <row r="6" spans="1:12" s="1" customFormat="1" ht="19" customHeight="1">
      <c r="A6" s="27" t="s">
        <v>131</v>
      </c>
      <c r="D6" s="4"/>
      <c r="H6" s="30"/>
      <c r="I6" s="33"/>
      <c r="J6" s="30"/>
      <c r="L6" s="2"/>
    </row>
    <row r="7" spans="1:12" s="1" customFormat="1" ht="19" customHeight="1">
      <c r="A7" s="27" t="s">
        <v>128</v>
      </c>
      <c r="D7" s="4"/>
      <c r="H7" s="30"/>
      <c r="I7" s="33"/>
      <c r="J7" s="30"/>
      <c r="L7" s="30"/>
    </row>
    <row r="8" spans="1:12" s="1" customFormat="1" ht="19" customHeight="1">
      <c r="A8" s="27" t="s">
        <v>132</v>
      </c>
      <c r="D8" s="4"/>
      <c r="H8" s="30"/>
      <c r="I8" s="33"/>
      <c r="J8" s="82">
        <f>J122</f>
        <v>97028322</v>
      </c>
    </row>
    <row r="9" spans="1:12" s="7" customFormat="1" ht="69.7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37" t="s">
        <v>11</v>
      </c>
      <c r="I9" s="34" t="s">
        <v>12</v>
      </c>
      <c r="J9" s="37" t="s">
        <v>13</v>
      </c>
      <c r="K9" s="6" t="s">
        <v>14</v>
      </c>
      <c r="L9" s="6" t="s">
        <v>15</v>
      </c>
    </row>
    <row r="10" spans="1:12" s="1" customFormat="1" ht="19" customHeight="1">
      <c r="A10" s="8" t="s">
        <v>16</v>
      </c>
      <c r="B10" s="8" t="s">
        <v>17</v>
      </c>
      <c r="C10" s="9">
        <v>45229</v>
      </c>
      <c r="D10" s="10">
        <v>45230</v>
      </c>
      <c r="E10" s="8" t="s">
        <v>18</v>
      </c>
      <c r="F10" s="11" t="s">
        <v>19</v>
      </c>
      <c r="G10" s="11" t="s">
        <v>19</v>
      </c>
      <c r="H10" s="12">
        <v>71211370</v>
      </c>
      <c r="I10" s="35">
        <v>0</v>
      </c>
      <c r="J10" s="12">
        <v>71211370</v>
      </c>
      <c r="K10" s="1" t="s">
        <v>20</v>
      </c>
    </row>
    <row r="11" spans="1:12" s="1" customFormat="1" ht="19" customHeight="1">
      <c r="A11" s="8" t="s">
        <v>16</v>
      </c>
      <c r="B11" s="8" t="s">
        <v>17</v>
      </c>
      <c r="C11" s="9">
        <v>45229</v>
      </c>
      <c r="D11" s="10">
        <v>45246</v>
      </c>
      <c r="E11" s="8" t="s">
        <v>18</v>
      </c>
      <c r="F11" s="11" t="s">
        <v>19</v>
      </c>
      <c r="G11" s="11" t="s">
        <v>19</v>
      </c>
      <c r="H11" s="12">
        <v>2840376</v>
      </c>
      <c r="I11" s="35">
        <v>0</v>
      </c>
      <c r="J11" s="12">
        <v>74051746</v>
      </c>
      <c r="K11" s="1" t="s">
        <v>21</v>
      </c>
    </row>
    <row r="12" spans="1:12" s="1" customFormat="1" ht="19" customHeight="1">
      <c r="A12" s="8" t="s">
        <v>16</v>
      </c>
      <c r="B12" s="8" t="s">
        <v>17</v>
      </c>
      <c r="C12" s="9">
        <v>45230</v>
      </c>
      <c r="D12" s="10">
        <v>45232</v>
      </c>
      <c r="E12" s="8" t="s">
        <v>22</v>
      </c>
      <c r="F12" s="11" t="s">
        <v>19</v>
      </c>
      <c r="G12" s="11" t="s">
        <v>19</v>
      </c>
      <c r="H12" s="12">
        <v>11</v>
      </c>
      <c r="I12" s="35">
        <v>0</v>
      </c>
      <c r="J12" s="12">
        <v>74051757</v>
      </c>
      <c r="K12" s="1" t="s">
        <v>23</v>
      </c>
    </row>
    <row r="13" spans="1:12" s="1" customFormat="1" ht="19" customHeight="1">
      <c r="A13" s="8" t="s">
        <v>16</v>
      </c>
      <c r="B13" s="8" t="s">
        <v>17</v>
      </c>
      <c r="C13" s="9">
        <v>45230</v>
      </c>
      <c r="D13" s="10">
        <v>45232</v>
      </c>
      <c r="E13" s="8" t="s">
        <v>22</v>
      </c>
      <c r="F13" s="11" t="s">
        <v>19</v>
      </c>
      <c r="G13" s="11" t="s">
        <v>19</v>
      </c>
      <c r="H13" s="12">
        <v>171</v>
      </c>
      <c r="I13" s="35">
        <v>0</v>
      </c>
      <c r="J13" s="12">
        <v>74051928</v>
      </c>
      <c r="K13" s="1" t="s">
        <v>24</v>
      </c>
    </row>
    <row r="14" spans="1:12" s="1" customFormat="1" ht="19" customHeight="1">
      <c r="A14" s="8" t="s">
        <v>16</v>
      </c>
      <c r="B14" s="8" t="s">
        <v>17</v>
      </c>
      <c r="C14" s="9">
        <v>45230</v>
      </c>
      <c r="D14" s="10">
        <v>45232</v>
      </c>
      <c r="E14" s="8" t="s">
        <v>22</v>
      </c>
      <c r="F14" s="11" t="s">
        <v>19</v>
      </c>
      <c r="G14" s="11" t="s">
        <v>19</v>
      </c>
      <c r="H14" s="12">
        <v>2531667</v>
      </c>
      <c r="I14" s="35">
        <v>0</v>
      </c>
      <c r="J14" s="12">
        <v>76583595</v>
      </c>
      <c r="K14" s="1" t="s">
        <v>25</v>
      </c>
    </row>
    <row r="15" spans="1:12" s="1" customFormat="1" ht="19" customHeight="1">
      <c r="A15" s="8" t="s">
        <v>16</v>
      </c>
      <c r="B15" s="8" t="s">
        <v>17</v>
      </c>
      <c r="C15" s="9">
        <v>45245</v>
      </c>
      <c r="D15" s="10">
        <v>45245</v>
      </c>
      <c r="E15" s="8" t="s">
        <v>26</v>
      </c>
      <c r="F15" s="11" t="s">
        <v>19</v>
      </c>
      <c r="G15" s="11" t="s">
        <v>19</v>
      </c>
      <c r="H15" s="12">
        <v>0</v>
      </c>
      <c r="I15" s="35">
        <v>-38</v>
      </c>
      <c r="J15" s="13">
        <v>76583557</v>
      </c>
      <c r="K15" s="1" t="s">
        <v>27</v>
      </c>
    </row>
    <row r="16" spans="1:12" s="1" customFormat="1" ht="19" customHeight="1">
      <c r="A16" s="8" t="s">
        <v>16</v>
      </c>
      <c r="B16" s="8" t="s">
        <v>17</v>
      </c>
      <c r="C16" s="9">
        <v>45272</v>
      </c>
      <c r="D16" s="10">
        <v>45272</v>
      </c>
      <c r="E16" s="8" t="s">
        <v>28</v>
      </c>
      <c r="F16" s="11"/>
      <c r="G16" s="11"/>
      <c r="H16" s="12">
        <v>1228</v>
      </c>
      <c r="I16" s="35">
        <v>0</v>
      </c>
      <c r="J16" s="12">
        <v>76584785</v>
      </c>
      <c r="K16" s="1" t="s">
        <v>29</v>
      </c>
    </row>
    <row r="17" spans="1:12" s="1" customFormat="1" ht="19" customHeight="1">
      <c r="A17" s="8" t="s">
        <v>16</v>
      </c>
      <c r="B17" s="8" t="s">
        <v>17</v>
      </c>
      <c r="C17" s="9">
        <v>45273</v>
      </c>
      <c r="D17" s="10">
        <v>45273</v>
      </c>
      <c r="E17" s="8" t="s">
        <v>28</v>
      </c>
      <c r="F17" s="11"/>
      <c r="G17" s="11"/>
      <c r="H17" s="12">
        <v>200</v>
      </c>
      <c r="I17" s="35">
        <v>0</v>
      </c>
      <c r="J17" s="12">
        <v>76584985</v>
      </c>
      <c r="K17" s="1" t="s">
        <v>30</v>
      </c>
    </row>
    <row r="18" spans="1:12" s="1" customFormat="1" ht="19" customHeight="1">
      <c r="A18" s="8" t="s">
        <v>16</v>
      </c>
      <c r="B18" s="8" t="s">
        <v>17</v>
      </c>
      <c r="C18" s="9">
        <v>45274</v>
      </c>
      <c r="D18" s="10">
        <v>45274</v>
      </c>
      <c r="E18" s="8" t="s">
        <v>28</v>
      </c>
      <c r="F18" s="11"/>
      <c r="G18" s="11"/>
      <c r="H18" s="12">
        <v>284</v>
      </c>
      <c r="I18" s="35">
        <v>0</v>
      </c>
      <c r="J18" s="12">
        <v>76585269</v>
      </c>
      <c r="K18" s="1" t="s">
        <v>30</v>
      </c>
    </row>
    <row r="19" spans="1:12" s="1" customFormat="1" ht="19" customHeight="1">
      <c r="A19" s="8" t="s">
        <v>16</v>
      </c>
      <c r="B19" s="8" t="s">
        <v>17</v>
      </c>
      <c r="C19" s="9">
        <v>45275</v>
      </c>
      <c r="D19" s="10">
        <v>45275</v>
      </c>
      <c r="E19" s="8" t="s">
        <v>28</v>
      </c>
      <c r="F19" s="11"/>
      <c r="G19" s="11"/>
      <c r="H19" s="12">
        <v>5735</v>
      </c>
      <c r="I19" s="35">
        <v>0</v>
      </c>
      <c r="J19" s="12">
        <v>76591004</v>
      </c>
      <c r="K19" s="1" t="s">
        <v>30</v>
      </c>
    </row>
    <row r="20" spans="1:12" s="1" customFormat="1" ht="19" customHeight="1">
      <c r="A20" s="8" t="s">
        <v>16</v>
      </c>
      <c r="B20" s="8" t="s">
        <v>17</v>
      </c>
      <c r="C20" s="9">
        <v>45278</v>
      </c>
      <c r="D20" s="10">
        <v>45278</v>
      </c>
      <c r="E20" s="8" t="s">
        <v>28</v>
      </c>
      <c r="F20" s="11"/>
      <c r="G20" s="11"/>
      <c r="H20" s="12">
        <v>1000</v>
      </c>
      <c r="I20" s="35">
        <v>0</v>
      </c>
      <c r="J20" s="12">
        <v>76592004</v>
      </c>
      <c r="K20" s="1" t="s">
        <v>31</v>
      </c>
    </row>
    <row r="21" spans="1:12" s="20" customFormat="1" ht="19" customHeight="1">
      <c r="A21" s="14" t="s">
        <v>16</v>
      </c>
      <c r="B21" s="14" t="s">
        <v>17</v>
      </c>
      <c r="C21" s="15">
        <v>45281</v>
      </c>
      <c r="D21" s="16">
        <v>45281</v>
      </c>
      <c r="E21" s="14" t="s">
        <v>28</v>
      </c>
      <c r="F21" s="17"/>
      <c r="G21" s="17"/>
      <c r="H21" s="18">
        <v>3612</v>
      </c>
      <c r="I21" s="38">
        <v>0</v>
      </c>
      <c r="J21" s="19">
        <v>76595616</v>
      </c>
      <c r="K21" s="20" t="s">
        <v>30</v>
      </c>
      <c r="L21" s="21">
        <f>SUM(H10:I21)</f>
        <v>76595616</v>
      </c>
    </row>
    <row r="22" spans="1:12" s="1" customFormat="1" ht="19" customHeight="1">
      <c r="A22" s="8" t="s">
        <v>16</v>
      </c>
      <c r="B22" s="8" t="s">
        <v>17</v>
      </c>
      <c r="C22" s="9">
        <v>45302</v>
      </c>
      <c r="D22" s="10">
        <v>45302</v>
      </c>
      <c r="E22" s="8" t="s">
        <v>32</v>
      </c>
      <c r="F22" s="11" t="s">
        <v>19</v>
      </c>
      <c r="G22" s="11" t="s">
        <v>33</v>
      </c>
      <c r="H22" s="12">
        <v>1000</v>
      </c>
      <c r="I22" s="35">
        <v>0</v>
      </c>
      <c r="J22" s="12">
        <v>76596616</v>
      </c>
      <c r="K22" s="1" t="s">
        <v>31</v>
      </c>
    </row>
    <row r="23" spans="1:12" s="1" customFormat="1" ht="19" customHeight="1">
      <c r="A23" s="8" t="s">
        <v>16</v>
      </c>
      <c r="B23" s="8" t="s">
        <v>17</v>
      </c>
      <c r="C23" s="9">
        <v>45303</v>
      </c>
      <c r="D23" s="10">
        <v>45303</v>
      </c>
      <c r="E23" s="8" t="s">
        <v>32</v>
      </c>
      <c r="F23" s="11" t="s">
        <v>19</v>
      </c>
      <c r="G23" s="11" t="s">
        <v>33</v>
      </c>
      <c r="H23" s="12">
        <v>7680</v>
      </c>
      <c r="I23" s="35">
        <v>0</v>
      </c>
      <c r="J23" s="12">
        <v>76604296</v>
      </c>
      <c r="K23" s="1" t="s">
        <v>34</v>
      </c>
    </row>
    <row r="24" spans="1:12" s="1" customFormat="1" ht="19" customHeight="1">
      <c r="A24" s="8" t="s">
        <v>16</v>
      </c>
      <c r="B24" s="8" t="s">
        <v>17</v>
      </c>
      <c r="C24" s="9">
        <v>45314</v>
      </c>
      <c r="D24" s="10">
        <v>45314</v>
      </c>
      <c r="E24" s="8" t="s">
        <v>22</v>
      </c>
      <c r="F24" s="11" t="s">
        <v>19</v>
      </c>
      <c r="G24" s="11" t="s">
        <v>19</v>
      </c>
      <c r="H24" s="12">
        <v>8767333</v>
      </c>
      <c r="I24" s="35">
        <v>0</v>
      </c>
      <c r="J24" s="12">
        <v>85371629</v>
      </c>
      <c r="K24" s="1" t="s">
        <v>35</v>
      </c>
    </row>
    <row r="25" spans="1:12" s="20" customFormat="1" ht="19" customHeight="1">
      <c r="A25" s="14" t="s">
        <v>16</v>
      </c>
      <c r="B25" s="14" t="s">
        <v>17</v>
      </c>
      <c r="C25" s="15">
        <v>45321</v>
      </c>
      <c r="D25" s="16">
        <v>45321</v>
      </c>
      <c r="E25" s="14" t="s">
        <v>32</v>
      </c>
      <c r="F25" s="17" t="s">
        <v>19</v>
      </c>
      <c r="G25" s="17" t="s">
        <v>33</v>
      </c>
      <c r="H25" s="18">
        <v>2917</v>
      </c>
      <c r="I25" s="38">
        <v>0</v>
      </c>
      <c r="J25" s="19">
        <v>85374546</v>
      </c>
      <c r="K25" s="20" t="s">
        <v>36</v>
      </c>
      <c r="L25" s="21">
        <f>SUM(H22:I25)</f>
        <v>8778930</v>
      </c>
    </row>
    <row r="26" spans="1:12" s="1" customFormat="1" ht="19" customHeight="1">
      <c r="A26" s="8" t="s">
        <v>16</v>
      </c>
      <c r="B26" s="8" t="s">
        <v>37</v>
      </c>
      <c r="C26" s="9">
        <v>45342</v>
      </c>
      <c r="D26" s="10">
        <v>45342</v>
      </c>
      <c r="E26" s="8" t="s">
        <v>32</v>
      </c>
      <c r="F26" s="11"/>
      <c r="G26" s="11" t="s">
        <v>33</v>
      </c>
      <c r="H26" s="12">
        <v>700</v>
      </c>
      <c r="I26" s="35">
        <v>0</v>
      </c>
      <c r="J26" s="12">
        <v>85375246</v>
      </c>
      <c r="K26" s="1" t="s">
        <v>38</v>
      </c>
    </row>
    <row r="27" spans="1:12" s="1" customFormat="1" ht="19" customHeight="1">
      <c r="A27" s="8" t="s">
        <v>16</v>
      </c>
      <c r="B27" s="8" t="s">
        <v>37</v>
      </c>
      <c r="C27" s="9">
        <v>45348</v>
      </c>
      <c r="D27" s="10">
        <v>45348</v>
      </c>
      <c r="E27" s="8" t="s">
        <v>32</v>
      </c>
      <c r="F27" s="11"/>
      <c r="G27" s="11" t="s">
        <v>33</v>
      </c>
      <c r="H27" s="12">
        <v>5000</v>
      </c>
      <c r="I27" s="35">
        <v>0</v>
      </c>
      <c r="J27" s="12">
        <v>85380246</v>
      </c>
      <c r="K27" s="1" t="s">
        <v>39</v>
      </c>
    </row>
    <row r="28" spans="1:12" s="1" customFormat="1" ht="19" customHeight="1">
      <c r="A28" s="8" t="s">
        <v>16</v>
      </c>
      <c r="B28" s="8" t="s">
        <v>37</v>
      </c>
      <c r="C28" s="9">
        <v>45349</v>
      </c>
      <c r="D28" s="10">
        <v>45349</v>
      </c>
      <c r="E28" s="8" t="s">
        <v>32</v>
      </c>
      <c r="F28" s="11"/>
      <c r="G28" s="11" t="s">
        <v>33</v>
      </c>
      <c r="H28" s="12">
        <v>10558</v>
      </c>
      <c r="I28" s="35">
        <v>0</v>
      </c>
      <c r="J28" s="12">
        <v>85390804</v>
      </c>
      <c r="K28" s="1" t="s">
        <v>40</v>
      </c>
    </row>
    <row r="29" spans="1:12" s="1" customFormat="1" ht="19" customHeight="1">
      <c r="A29" s="8" t="s">
        <v>16</v>
      </c>
      <c r="B29" s="8" t="s">
        <v>37</v>
      </c>
      <c r="C29" s="9">
        <v>45350</v>
      </c>
      <c r="D29" s="10">
        <v>45350</v>
      </c>
      <c r="E29" s="8" t="s">
        <v>32</v>
      </c>
      <c r="F29" s="11"/>
      <c r="G29" s="11" t="s">
        <v>33</v>
      </c>
      <c r="H29" s="12">
        <v>900</v>
      </c>
      <c r="I29" s="35">
        <v>0</v>
      </c>
      <c r="J29" s="12">
        <v>85391704</v>
      </c>
      <c r="K29" s="1" t="s">
        <v>41</v>
      </c>
    </row>
    <row r="30" spans="1:12" s="20" customFormat="1" ht="19" customHeight="1">
      <c r="A30" s="14" t="s">
        <v>16</v>
      </c>
      <c r="B30" s="14" t="s">
        <v>37</v>
      </c>
      <c r="C30" s="15">
        <v>45351</v>
      </c>
      <c r="D30" s="16">
        <v>45351</v>
      </c>
      <c r="E30" s="14" t="s">
        <v>32</v>
      </c>
      <c r="F30" s="17"/>
      <c r="G30" s="17" t="s">
        <v>33</v>
      </c>
      <c r="H30" s="18">
        <v>6542</v>
      </c>
      <c r="I30" s="38">
        <v>0</v>
      </c>
      <c r="J30" s="19">
        <v>85398246</v>
      </c>
      <c r="K30" s="20" t="s">
        <v>42</v>
      </c>
      <c r="L30" s="21">
        <f>SUM(H26:I30)</f>
        <v>23700</v>
      </c>
    </row>
    <row r="31" spans="1:12" s="1" customFormat="1" ht="19" customHeight="1">
      <c r="A31" s="8" t="s">
        <v>16</v>
      </c>
      <c r="B31" s="8" t="s">
        <v>37</v>
      </c>
      <c r="C31" s="9">
        <v>45365</v>
      </c>
      <c r="D31" s="10">
        <v>45365</v>
      </c>
      <c r="E31" s="8" t="s">
        <v>32</v>
      </c>
      <c r="F31" s="11" t="s">
        <v>19</v>
      </c>
      <c r="G31" s="11" t="s">
        <v>33</v>
      </c>
      <c r="H31" s="12">
        <v>5000</v>
      </c>
      <c r="I31" s="35">
        <v>0</v>
      </c>
      <c r="J31" s="12">
        <v>85403246</v>
      </c>
      <c r="K31" s="1" t="s">
        <v>43</v>
      </c>
    </row>
    <row r="32" spans="1:12" s="20" customFormat="1" ht="19" customHeight="1">
      <c r="A32" s="14" t="s">
        <v>16</v>
      </c>
      <c r="B32" s="14" t="s">
        <v>37</v>
      </c>
      <c r="C32" s="15">
        <v>45369</v>
      </c>
      <c r="D32" s="16">
        <v>45369</v>
      </c>
      <c r="E32" s="14" t="s">
        <v>32</v>
      </c>
      <c r="F32" s="17" t="s">
        <v>19</v>
      </c>
      <c r="G32" s="17" t="s">
        <v>33</v>
      </c>
      <c r="H32" s="18">
        <v>20000</v>
      </c>
      <c r="I32" s="38">
        <v>0</v>
      </c>
      <c r="J32" s="19">
        <v>85423246</v>
      </c>
      <c r="K32" s="20" t="s">
        <v>44</v>
      </c>
      <c r="L32" s="21">
        <f>SUM(H31:I32)</f>
        <v>25000</v>
      </c>
    </row>
    <row r="33" spans="1:12" s="1" customFormat="1" ht="19" customHeight="1">
      <c r="A33" s="8" t="s">
        <v>16</v>
      </c>
      <c r="B33" s="8" t="s">
        <v>37</v>
      </c>
      <c r="C33" s="9">
        <v>45383</v>
      </c>
      <c r="D33" s="10" t="s">
        <v>19</v>
      </c>
      <c r="E33" s="8" t="s">
        <v>32</v>
      </c>
      <c r="F33" s="11">
        <v>111488849</v>
      </c>
      <c r="G33" s="11" t="s">
        <v>33</v>
      </c>
      <c r="H33" s="12">
        <v>1417</v>
      </c>
      <c r="I33" s="35">
        <v>0</v>
      </c>
      <c r="J33" s="12">
        <v>85424663</v>
      </c>
      <c r="K33" s="1" t="s">
        <v>45</v>
      </c>
    </row>
    <row r="34" spans="1:12" s="1" customFormat="1" ht="19" customHeight="1">
      <c r="A34" s="8" t="s">
        <v>16</v>
      </c>
      <c r="B34" s="8" t="s">
        <v>37</v>
      </c>
      <c r="C34" s="9">
        <v>45384</v>
      </c>
      <c r="D34" s="10">
        <v>45384</v>
      </c>
      <c r="E34" s="8" t="s">
        <v>32</v>
      </c>
      <c r="F34" s="11" t="s">
        <v>19</v>
      </c>
      <c r="G34" s="11" t="s">
        <v>33</v>
      </c>
      <c r="H34" s="12">
        <v>20000</v>
      </c>
      <c r="I34" s="35">
        <v>0</v>
      </c>
      <c r="J34" s="12">
        <v>85444663</v>
      </c>
      <c r="K34" s="1" t="s">
        <v>46</v>
      </c>
    </row>
    <row r="35" spans="1:12" s="1" customFormat="1" ht="19" customHeight="1">
      <c r="A35" s="8" t="s">
        <v>16</v>
      </c>
      <c r="B35" s="8" t="s">
        <v>37</v>
      </c>
      <c r="C35" s="9">
        <v>45385</v>
      </c>
      <c r="D35" s="10">
        <v>45385</v>
      </c>
      <c r="E35" s="8" t="s">
        <v>32</v>
      </c>
      <c r="F35" s="11" t="s">
        <v>19</v>
      </c>
      <c r="G35" s="11" t="s">
        <v>33</v>
      </c>
      <c r="H35" s="12">
        <v>3271</v>
      </c>
      <c r="I35" s="35">
        <v>0</v>
      </c>
      <c r="J35" s="12">
        <v>85447934</v>
      </c>
      <c r="K35" s="1" t="s">
        <v>47</v>
      </c>
    </row>
    <row r="36" spans="1:12" s="1" customFormat="1" ht="19" customHeight="1">
      <c r="A36" s="8" t="s">
        <v>16</v>
      </c>
      <c r="B36" s="8" t="s">
        <v>37</v>
      </c>
      <c r="C36" s="9">
        <v>45386</v>
      </c>
      <c r="D36" s="10">
        <v>45386</v>
      </c>
      <c r="E36" s="8" t="s">
        <v>32</v>
      </c>
      <c r="F36" s="11" t="s">
        <v>19</v>
      </c>
      <c r="G36" s="11" t="s">
        <v>33</v>
      </c>
      <c r="H36" s="12">
        <v>2729</v>
      </c>
      <c r="I36" s="35">
        <v>0</v>
      </c>
      <c r="J36" s="12">
        <v>85450663</v>
      </c>
      <c r="K36" s="1" t="s">
        <v>48</v>
      </c>
    </row>
    <row r="37" spans="1:12" s="1" customFormat="1" ht="19" customHeight="1">
      <c r="A37" s="8" t="s">
        <v>16</v>
      </c>
      <c r="B37" s="8" t="s">
        <v>37</v>
      </c>
      <c r="C37" s="9">
        <v>45387</v>
      </c>
      <c r="D37" s="10">
        <v>45387</v>
      </c>
      <c r="E37" s="8" t="s">
        <v>32</v>
      </c>
      <c r="F37" s="11" t="s">
        <v>19</v>
      </c>
      <c r="G37" s="11" t="s">
        <v>33</v>
      </c>
      <c r="H37" s="12">
        <v>777</v>
      </c>
      <c r="I37" s="35">
        <v>0</v>
      </c>
      <c r="J37" s="12">
        <v>85451440</v>
      </c>
      <c r="K37" s="1" t="s">
        <v>49</v>
      </c>
    </row>
    <row r="38" spans="1:12" s="1" customFormat="1" ht="19" customHeight="1">
      <c r="A38" s="8" t="s">
        <v>16</v>
      </c>
      <c r="B38" s="8" t="s">
        <v>37</v>
      </c>
      <c r="C38" s="9">
        <v>45390</v>
      </c>
      <c r="D38" s="10">
        <v>45390</v>
      </c>
      <c r="E38" s="8" t="s">
        <v>32</v>
      </c>
      <c r="F38" s="11" t="s">
        <v>19</v>
      </c>
      <c r="G38" s="11" t="s">
        <v>33</v>
      </c>
      <c r="H38" s="12">
        <v>3412</v>
      </c>
      <c r="I38" s="35">
        <v>0</v>
      </c>
      <c r="J38" s="12">
        <v>85454852</v>
      </c>
      <c r="K38" s="1" t="s">
        <v>50</v>
      </c>
    </row>
    <row r="39" spans="1:12" s="1" customFormat="1" ht="19" customHeight="1">
      <c r="A39" s="8" t="s">
        <v>16</v>
      </c>
      <c r="B39" s="8" t="s">
        <v>37</v>
      </c>
      <c r="C39" s="9">
        <v>45391</v>
      </c>
      <c r="D39" s="10">
        <v>45391</v>
      </c>
      <c r="E39" s="8" t="s">
        <v>32</v>
      </c>
      <c r="F39" s="11" t="s">
        <v>19</v>
      </c>
      <c r="G39" s="11" t="s">
        <v>33</v>
      </c>
      <c r="H39" s="12">
        <v>2966</v>
      </c>
      <c r="I39" s="35">
        <v>0</v>
      </c>
      <c r="J39" s="12">
        <v>85457818</v>
      </c>
      <c r="K39" s="1" t="s">
        <v>51</v>
      </c>
    </row>
    <row r="40" spans="1:12" s="1" customFormat="1" ht="19" customHeight="1">
      <c r="A40" s="8" t="s">
        <v>16</v>
      </c>
      <c r="B40" s="8" t="s">
        <v>37</v>
      </c>
      <c r="C40" s="9">
        <v>45392</v>
      </c>
      <c r="D40" s="10">
        <v>45392</v>
      </c>
      <c r="E40" s="8" t="s">
        <v>32</v>
      </c>
      <c r="F40" s="11" t="s">
        <v>19</v>
      </c>
      <c r="G40" s="11" t="s">
        <v>33</v>
      </c>
      <c r="H40" s="12">
        <v>2154</v>
      </c>
      <c r="I40" s="35">
        <v>0</v>
      </c>
      <c r="J40" s="12">
        <v>85459972</v>
      </c>
      <c r="K40" s="1" t="s">
        <v>52</v>
      </c>
    </row>
    <row r="41" spans="1:12" s="1" customFormat="1" ht="19" customHeight="1">
      <c r="A41" s="8" t="s">
        <v>16</v>
      </c>
      <c r="B41" s="8" t="s">
        <v>37</v>
      </c>
      <c r="C41" s="9">
        <v>45399</v>
      </c>
      <c r="D41" s="10">
        <v>45399</v>
      </c>
      <c r="E41" s="8" t="s">
        <v>32</v>
      </c>
      <c r="F41" s="11" t="s">
        <v>19</v>
      </c>
      <c r="G41" s="11" t="s">
        <v>33</v>
      </c>
      <c r="H41" s="12">
        <v>343</v>
      </c>
      <c r="I41" s="35">
        <v>0</v>
      </c>
      <c r="J41" s="12">
        <v>85460315</v>
      </c>
      <c r="K41" s="1" t="s">
        <v>53</v>
      </c>
    </row>
    <row r="42" spans="1:12" s="1" customFormat="1" ht="19" customHeight="1">
      <c r="A42" s="8" t="s">
        <v>16</v>
      </c>
      <c r="B42" s="8" t="s">
        <v>37</v>
      </c>
      <c r="C42" s="9">
        <v>45400</v>
      </c>
      <c r="D42" s="10">
        <v>45400</v>
      </c>
      <c r="E42" s="8" t="s">
        <v>32</v>
      </c>
      <c r="F42" s="11" t="s">
        <v>19</v>
      </c>
      <c r="G42" s="11" t="s">
        <v>33</v>
      </c>
      <c r="H42" s="12">
        <v>6357</v>
      </c>
      <c r="I42" s="35">
        <v>0</v>
      </c>
      <c r="J42" s="12">
        <v>85466672</v>
      </c>
      <c r="K42" s="1" t="s">
        <v>54</v>
      </c>
    </row>
    <row r="43" spans="1:12" s="1" customFormat="1" ht="19" customHeight="1">
      <c r="A43" s="8" t="s">
        <v>16</v>
      </c>
      <c r="B43" s="8" t="s">
        <v>37</v>
      </c>
      <c r="C43" s="9">
        <v>45401</v>
      </c>
      <c r="D43" s="10">
        <v>45401</v>
      </c>
      <c r="E43" s="8" t="s">
        <v>32</v>
      </c>
      <c r="F43" s="11" t="s">
        <v>19</v>
      </c>
      <c r="G43" s="11" t="s">
        <v>33</v>
      </c>
      <c r="H43" s="12">
        <v>9</v>
      </c>
      <c r="I43" s="35">
        <v>0</v>
      </c>
      <c r="J43" s="12">
        <v>85466681</v>
      </c>
      <c r="K43" s="1" t="s">
        <v>55</v>
      </c>
    </row>
    <row r="44" spans="1:12" s="1" customFormat="1" ht="19" customHeight="1">
      <c r="A44" s="8" t="s">
        <v>16</v>
      </c>
      <c r="B44" s="8" t="s">
        <v>37</v>
      </c>
      <c r="C44" s="9">
        <v>45405</v>
      </c>
      <c r="D44" s="10">
        <v>45405</v>
      </c>
      <c r="E44" s="8" t="s">
        <v>32</v>
      </c>
      <c r="F44" s="11" t="s">
        <v>19</v>
      </c>
      <c r="G44" s="11" t="s">
        <v>33</v>
      </c>
      <c r="H44" s="12">
        <v>10315</v>
      </c>
      <c r="I44" s="35">
        <v>0</v>
      </c>
      <c r="J44" s="12">
        <v>85476996</v>
      </c>
      <c r="K44" s="1" t="s">
        <v>56</v>
      </c>
    </row>
    <row r="45" spans="1:12" s="1" customFormat="1" ht="19" customHeight="1">
      <c r="A45" s="8" t="s">
        <v>16</v>
      </c>
      <c r="B45" s="8" t="s">
        <v>37</v>
      </c>
      <c r="C45" s="9">
        <v>45406</v>
      </c>
      <c r="D45" s="10">
        <v>45406</v>
      </c>
      <c r="E45" s="8" t="s">
        <v>32</v>
      </c>
      <c r="F45" s="11" t="s">
        <v>19</v>
      </c>
      <c r="G45" s="11" t="s">
        <v>33</v>
      </c>
      <c r="H45" s="12">
        <v>1921</v>
      </c>
      <c r="I45" s="35">
        <v>0</v>
      </c>
      <c r="J45" s="12">
        <v>85478917</v>
      </c>
      <c r="K45" s="1" t="s">
        <v>57</v>
      </c>
    </row>
    <row r="46" spans="1:12" s="1" customFormat="1" ht="19" customHeight="1">
      <c r="A46" s="8" t="s">
        <v>16</v>
      </c>
      <c r="B46" s="8" t="s">
        <v>37</v>
      </c>
      <c r="C46" s="9">
        <v>45407</v>
      </c>
      <c r="D46" s="10">
        <v>45407</v>
      </c>
      <c r="E46" s="8" t="s">
        <v>32</v>
      </c>
      <c r="F46" s="11" t="s">
        <v>19</v>
      </c>
      <c r="G46" s="11" t="s">
        <v>33</v>
      </c>
      <c r="H46" s="12">
        <v>735</v>
      </c>
      <c r="I46" s="35">
        <v>0</v>
      </c>
      <c r="J46" s="12">
        <v>85479652</v>
      </c>
      <c r="K46" s="1" t="s">
        <v>58</v>
      </c>
    </row>
    <row r="47" spans="1:12" s="1" customFormat="1" ht="19" customHeight="1">
      <c r="A47" s="8" t="s">
        <v>16</v>
      </c>
      <c r="B47" s="8" t="s">
        <v>37</v>
      </c>
      <c r="C47" s="9">
        <v>45408</v>
      </c>
      <c r="D47" s="10">
        <v>45408</v>
      </c>
      <c r="E47" s="8" t="s">
        <v>32</v>
      </c>
      <c r="F47" s="11" t="s">
        <v>19</v>
      </c>
      <c r="G47" s="11" t="s">
        <v>33</v>
      </c>
      <c r="H47" s="12">
        <v>6500</v>
      </c>
      <c r="I47" s="35">
        <v>0</v>
      </c>
      <c r="J47" s="12">
        <v>85486152</v>
      </c>
      <c r="K47" s="1" t="s">
        <v>59</v>
      </c>
    </row>
    <row r="48" spans="1:12" s="20" customFormat="1" ht="19" customHeight="1">
      <c r="A48" s="14" t="s">
        <v>16</v>
      </c>
      <c r="B48" s="14" t="s">
        <v>37</v>
      </c>
      <c r="C48" s="15">
        <v>45411</v>
      </c>
      <c r="D48" s="16">
        <v>45411</v>
      </c>
      <c r="E48" s="14" t="s">
        <v>32</v>
      </c>
      <c r="F48" s="17" t="s">
        <v>19</v>
      </c>
      <c r="G48" s="17" t="s">
        <v>33</v>
      </c>
      <c r="H48" s="18">
        <v>3964</v>
      </c>
      <c r="I48" s="38">
        <v>0</v>
      </c>
      <c r="J48" s="22">
        <v>85490116</v>
      </c>
      <c r="K48" s="20" t="s">
        <v>60</v>
      </c>
      <c r="L48" s="21">
        <f>SUM(H33:I48)</f>
        <v>66870</v>
      </c>
    </row>
    <row r="49" spans="1:12" s="1" customFormat="1" ht="19" customHeight="1">
      <c r="A49" s="8" t="s">
        <v>16</v>
      </c>
      <c r="B49" s="8" t="s">
        <v>37</v>
      </c>
      <c r="C49" s="9">
        <v>45414</v>
      </c>
      <c r="D49" s="10">
        <v>45414</v>
      </c>
      <c r="E49" s="8" t="s">
        <v>32</v>
      </c>
      <c r="F49" s="11" t="s">
        <v>19</v>
      </c>
      <c r="G49" s="11" t="s">
        <v>33</v>
      </c>
      <c r="H49" s="12">
        <v>20000</v>
      </c>
      <c r="I49" s="35">
        <v>0</v>
      </c>
      <c r="J49" s="12">
        <v>85510116</v>
      </c>
      <c r="K49" s="1" t="s">
        <v>61</v>
      </c>
    </row>
    <row r="50" spans="1:12" s="1" customFormat="1" ht="19" customHeight="1">
      <c r="A50" s="8" t="s">
        <v>16</v>
      </c>
      <c r="B50" s="8" t="s">
        <v>37</v>
      </c>
      <c r="C50" s="9">
        <v>45442</v>
      </c>
      <c r="D50" s="10">
        <v>45442</v>
      </c>
      <c r="E50" s="8" t="s">
        <v>32</v>
      </c>
      <c r="F50" s="11" t="s">
        <v>19</v>
      </c>
      <c r="G50" s="11" t="s">
        <v>33</v>
      </c>
      <c r="H50" s="12">
        <v>3900</v>
      </c>
      <c r="I50" s="35">
        <v>0</v>
      </c>
      <c r="J50" s="12">
        <v>85514016</v>
      </c>
      <c r="K50" s="1" t="s">
        <v>62</v>
      </c>
    </row>
    <row r="51" spans="1:12" s="20" customFormat="1" ht="19" customHeight="1">
      <c r="A51" s="14" t="s">
        <v>16</v>
      </c>
      <c r="B51" s="14" t="s">
        <v>37</v>
      </c>
      <c r="C51" s="15">
        <v>45443</v>
      </c>
      <c r="D51" s="16">
        <v>45443</v>
      </c>
      <c r="E51" s="14" t="s">
        <v>32</v>
      </c>
      <c r="F51" s="17" t="s">
        <v>19</v>
      </c>
      <c r="G51" s="17" t="s">
        <v>33</v>
      </c>
      <c r="H51" s="18">
        <v>208</v>
      </c>
      <c r="I51" s="38">
        <v>0</v>
      </c>
      <c r="J51" s="22">
        <v>85514224</v>
      </c>
      <c r="K51" s="20" t="s">
        <v>63</v>
      </c>
      <c r="L51" s="21">
        <f>SUM(H49:H51)</f>
        <v>24108</v>
      </c>
    </row>
    <row r="52" spans="1:12" s="1" customFormat="1" ht="19" customHeight="1">
      <c r="A52" s="8" t="s">
        <v>16</v>
      </c>
      <c r="B52" s="8" t="s">
        <v>37</v>
      </c>
      <c r="C52" s="9">
        <v>45446</v>
      </c>
      <c r="D52" s="10">
        <v>45446</v>
      </c>
      <c r="E52" s="8" t="s">
        <v>32</v>
      </c>
      <c r="F52" s="11" t="s">
        <v>19</v>
      </c>
      <c r="G52" s="11" t="s">
        <v>33</v>
      </c>
      <c r="H52" s="12">
        <v>10692</v>
      </c>
      <c r="I52" s="35">
        <v>0</v>
      </c>
      <c r="J52" s="12">
        <v>85524916</v>
      </c>
      <c r="K52" s="1" t="s">
        <v>70</v>
      </c>
    </row>
    <row r="53" spans="1:12" s="1" customFormat="1" ht="19" customHeight="1">
      <c r="A53" s="8" t="s">
        <v>16</v>
      </c>
      <c r="B53" s="8" t="s">
        <v>37</v>
      </c>
      <c r="C53" s="9">
        <v>45448</v>
      </c>
      <c r="D53" s="10">
        <v>45448</v>
      </c>
      <c r="E53" s="8" t="s">
        <v>32</v>
      </c>
      <c r="F53" s="11" t="s">
        <v>19</v>
      </c>
      <c r="G53" s="11" t="s">
        <v>33</v>
      </c>
      <c r="H53" s="12">
        <v>5409</v>
      </c>
      <c r="I53" s="35">
        <v>0</v>
      </c>
      <c r="J53" s="12">
        <v>85530325</v>
      </c>
      <c r="K53" s="1" t="s">
        <v>65</v>
      </c>
    </row>
    <row r="54" spans="1:12" s="1" customFormat="1" ht="19" customHeight="1">
      <c r="A54" s="8" t="s">
        <v>16</v>
      </c>
      <c r="B54" s="8" t="s">
        <v>37</v>
      </c>
      <c r="C54" s="9">
        <v>45449</v>
      </c>
      <c r="D54" s="10">
        <v>45449</v>
      </c>
      <c r="E54" s="8" t="s">
        <v>32</v>
      </c>
      <c r="F54" s="11" t="s">
        <v>19</v>
      </c>
      <c r="G54" s="11" t="s">
        <v>33</v>
      </c>
      <c r="H54" s="12">
        <v>512</v>
      </c>
      <c r="I54" s="35">
        <v>0</v>
      </c>
      <c r="J54" s="12">
        <v>85530837</v>
      </c>
      <c r="K54" s="1" t="s">
        <v>66</v>
      </c>
    </row>
    <row r="55" spans="1:12" s="1" customFormat="1" ht="19" customHeight="1">
      <c r="A55" s="8" t="s">
        <v>16</v>
      </c>
      <c r="B55" s="8" t="s">
        <v>37</v>
      </c>
      <c r="C55" s="9">
        <v>45450</v>
      </c>
      <c r="D55" s="10">
        <v>45450</v>
      </c>
      <c r="E55" s="8" t="s">
        <v>32</v>
      </c>
      <c r="F55" s="11" t="s">
        <v>19</v>
      </c>
      <c r="G55" s="11" t="s">
        <v>33</v>
      </c>
      <c r="H55" s="12">
        <v>711</v>
      </c>
      <c r="I55" s="35">
        <v>0</v>
      </c>
      <c r="J55" s="12">
        <v>85531548</v>
      </c>
      <c r="K55" s="1" t="s">
        <v>67</v>
      </c>
    </row>
    <row r="56" spans="1:12" s="1" customFormat="1" ht="19" customHeight="1">
      <c r="A56" s="8" t="s">
        <v>16</v>
      </c>
      <c r="B56" s="8" t="s">
        <v>37</v>
      </c>
      <c r="C56" s="9">
        <v>45453</v>
      </c>
      <c r="D56" s="10">
        <v>45453</v>
      </c>
      <c r="E56" s="8" t="s">
        <v>32</v>
      </c>
      <c r="F56" s="11" t="s">
        <v>19</v>
      </c>
      <c r="G56" s="11" t="s">
        <v>33</v>
      </c>
      <c r="H56" s="12">
        <v>4161</v>
      </c>
      <c r="I56" s="35">
        <v>0</v>
      </c>
      <c r="J56" s="12">
        <v>85535709</v>
      </c>
      <c r="K56" s="1" t="s">
        <v>68</v>
      </c>
    </row>
    <row r="57" spans="1:12" s="1" customFormat="1" ht="19" customHeight="1">
      <c r="A57" s="8" t="s">
        <v>16</v>
      </c>
      <c r="B57" s="8" t="s">
        <v>37</v>
      </c>
      <c r="C57" s="9">
        <v>45468</v>
      </c>
      <c r="D57" s="10">
        <v>45468</v>
      </c>
      <c r="E57" s="8" t="s">
        <v>32</v>
      </c>
      <c r="F57" s="11" t="s">
        <v>19</v>
      </c>
      <c r="G57" s="11" t="s">
        <v>33</v>
      </c>
      <c r="H57" s="12">
        <v>100</v>
      </c>
      <c r="I57" s="35">
        <v>0</v>
      </c>
      <c r="J57" s="12">
        <v>85535809</v>
      </c>
      <c r="K57" s="1" t="s">
        <v>69</v>
      </c>
    </row>
    <row r="58" spans="1:12" s="20" customFormat="1" ht="19" customHeight="1">
      <c r="A58" s="14" t="s">
        <v>16</v>
      </c>
      <c r="B58" s="14" t="s">
        <v>37</v>
      </c>
      <c r="C58" s="15">
        <v>45469</v>
      </c>
      <c r="D58" s="16">
        <v>45469</v>
      </c>
      <c r="E58" s="14" t="s">
        <v>32</v>
      </c>
      <c r="F58" s="17" t="s">
        <v>19</v>
      </c>
      <c r="G58" s="17" t="s">
        <v>33</v>
      </c>
      <c r="H58" s="18">
        <v>1965</v>
      </c>
      <c r="I58" s="38">
        <v>0</v>
      </c>
      <c r="J58" s="22">
        <v>85537774</v>
      </c>
      <c r="K58" s="20" t="s">
        <v>64</v>
      </c>
      <c r="L58" s="21">
        <f>SUM(H52:H58)</f>
        <v>23550</v>
      </c>
    </row>
    <row r="59" spans="1:12" customFormat="1" ht="19" customHeight="1">
      <c r="A59" s="28" t="s">
        <v>16</v>
      </c>
      <c r="B59" s="28" t="s">
        <v>37</v>
      </c>
      <c r="C59" s="31">
        <v>45474</v>
      </c>
      <c r="D59" s="32">
        <v>45474</v>
      </c>
      <c r="E59" s="28" t="s">
        <v>32</v>
      </c>
      <c r="F59" s="29" t="s">
        <v>19</v>
      </c>
      <c r="G59" s="29" t="s">
        <v>33</v>
      </c>
      <c r="H59" s="12">
        <v>16387</v>
      </c>
      <c r="I59" s="35">
        <v>0</v>
      </c>
      <c r="J59" s="12">
        <v>85554161</v>
      </c>
      <c r="K59" s="93" t="s">
        <v>83</v>
      </c>
    </row>
    <row r="60" spans="1:12" customFormat="1" ht="19" customHeight="1">
      <c r="A60" s="28" t="s">
        <v>16</v>
      </c>
      <c r="B60" s="28" t="s">
        <v>37</v>
      </c>
      <c r="C60" s="31">
        <v>45475</v>
      </c>
      <c r="D60" s="32">
        <v>45475</v>
      </c>
      <c r="E60" s="28" t="s">
        <v>32</v>
      </c>
      <c r="F60" s="29" t="s">
        <v>19</v>
      </c>
      <c r="G60" s="29" t="s">
        <v>33</v>
      </c>
      <c r="H60" s="12">
        <v>12200</v>
      </c>
      <c r="I60" s="35">
        <v>0</v>
      </c>
      <c r="J60" s="12">
        <v>85566361</v>
      </c>
      <c r="K60" s="93" t="s">
        <v>72</v>
      </c>
    </row>
    <row r="61" spans="1:12" customFormat="1" ht="19" customHeight="1">
      <c r="A61" s="28" t="s">
        <v>16</v>
      </c>
      <c r="B61" s="28" t="s">
        <v>37</v>
      </c>
      <c r="C61" s="31">
        <v>45476</v>
      </c>
      <c r="D61" s="32">
        <v>45476</v>
      </c>
      <c r="E61" s="28" t="s">
        <v>32</v>
      </c>
      <c r="F61" s="29" t="s">
        <v>19</v>
      </c>
      <c r="G61" s="29" t="s">
        <v>33</v>
      </c>
      <c r="H61" s="12">
        <v>7767</v>
      </c>
      <c r="I61" s="35">
        <v>0</v>
      </c>
      <c r="J61" s="12">
        <v>85574128</v>
      </c>
      <c r="K61" s="93" t="s">
        <v>73</v>
      </c>
    </row>
    <row r="62" spans="1:12" customFormat="1" ht="19" customHeight="1">
      <c r="A62" s="28" t="s">
        <v>16</v>
      </c>
      <c r="B62" s="28" t="s">
        <v>37</v>
      </c>
      <c r="C62" s="31">
        <v>45478</v>
      </c>
      <c r="D62" s="32">
        <v>45478</v>
      </c>
      <c r="E62" s="28" t="s">
        <v>32</v>
      </c>
      <c r="F62" s="29" t="s">
        <v>19</v>
      </c>
      <c r="G62" s="29" t="s">
        <v>33</v>
      </c>
      <c r="H62" s="12">
        <v>33</v>
      </c>
      <c r="I62" s="35">
        <v>0</v>
      </c>
      <c r="J62" s="12">
        <v>85574161</v>
      </c>
      <c r="K62" s="93" t="s">
        <v>74</v>
      </c>
    </row>
    <row r="63" spans="1:12" customFormat="1" ht="19" customHeight="1">
      <c r="A63" s="28" t="s">
        <v>16</v>
      </c>
      <c r="B63" s="28" t="s">
        <v>37</v>
      </c>
      <c r="C63" s="31">
        <v>45481</v>
      </c>
      <c r="D63" s="32">
        <v>45481</v>
      </c>
      <c r="E63" s="28" t="s">
        <v>32</v>
      </c>
      <c r="F63" s="29" t="s">
        <v>19</v>
      </c>
      <c r="G63" s="29" t="s">
        <v>33</v>
      </c>
      <c r="H63" s="12">
        <v>5000</v>
      </c>
      <c r="I63" s="35">
        <v>0</v>
      </c>
      <c r="J63" s="12">
        <v>85579161</v>
      </c>
      <c r="K63" s="93" t="s">
        <v>75</v>
      </c>
    </row>
    <row r="64" spans="1:12" customFormat="1" ht="19" customHeight="1">
      <c r="A64" s="28" t="s">
        <v>16</v>
      </c>
      <c r="B64" s="28" t="s">
        <v>37</v>
      </c>
      <c r="C64" s="31">
        <v>45485</v>
      </c>
      <c r="D64" s="32">
        <v>45485</v>
      </c>
      <c r="E64" s="28" t="s">
        <v>32</v>
      </c>
      <c r="F64" s="29" t="s">
        <v>19</v>
      </c>
      <c r="G64" s="29" t="s">
        <v>33</v>
      </c>
      <c r="H64" s="12">
        <v>2500</v>
      </c>
      <c r="I64" s="35">
        <v>0</v>
      </c>
      <c r="J64" s="12">
        <v>85581661</v>
      </c>
      <c r="K64" s="93" t="s">
        <v>76</v>
      </c>
    </row>
    <row r="65" spans="1:12" customFormat="1" ht="19" customHeight="1">
      <c r="A65" s="28" t="s">
        <v>16</v>
      </c>
      <c r="B65" s="28" t="s">
        <v>37</v>
      </c>
      <c r="C65" s="31">
        <v>45489</v>
      </c>
      <c r="D65" s="32">
        <v>45489</v>
      </c>
      <c r="E65" s="28" t="s">
        <v>32</v>
      </c>
      <c r="F65" s="29" t="s">
        <v>19</v>
      </c>
      <c r="G65" s="29" t="s">
        <v>33</v>
      </c>
      <c r="H65" s="12">
        <v>5000</v>
      </c>
      <c r="I65" s="35">
        <v>0</v>
      </c>
      <c r="J65" s="12">
        <v>85586661</v>
      </c>
      <c r="K65" s="93" t="s">
        <v>81</v>
      </c>
    </row>
    <row r="66" spans="1:12" customFormat="1" ht="19" customHeight="1">
      <c r="A66" s="28" t="s">
        <v>16</v>
      </c>
      <c r="B66" s="28" t="s">
        <v>37</v>
      </c>
      <c r="C66" s="31">
        <v>45489</v>
      </c>
      <c r="D66" s="32">
        <v>45489</v>
      </c>
      <c r="E66" s="28" t="s">
        <v>32</v>
      </c>
      <c r="F66" s="29" t="s">
        <v>19</v>
      </c>
      <c r="G66" s="29" t="s">
        <v>33</v>
      </c>
      <c r="H66" s="12">
        <v>12400</v>
      </c>
      <c r="I66" s="35">
        <v>0</v>
      </c>
      <c r="J66" s="12">
        <v>85599061</v>
      </c>
      <c r="K66" s="93" t="s">
        <v>80</v>
      </c>
    </row>
    <row r="67" spans="1:12" customFormat="1" ht="19" customHeight="1">
      <c r="A67" s="28" t="s">
        <v>16</v>
      </c>
      <c r="B67" s="28" t="s">
        <v>37</v>
      </c>
      <c r="C67" s="31">
        <v>45490</v>
      </c>
      <c r="D67" s="32">
        <v>45490</v>
      </c>
      <c r="E67" s="28" t="s">
        <v>32</v>
      </c>
      <c r="F67" s="29" t="s">
        <v>19</v>
      </c>
      <c r="G67" s="29" t="s">
        <v>33</v>
      </c>
      <c r="H67" s="12">
        <v>5100</v>
      </c>
      <c r="I67" s="35">
        <v>0</v>
      </c>
      <c r="J67" s="12">
        <v>85604161</v>
      </c>
      <c r="K67" s="93" t="s">
        <v>82</v>
      </c>
    </row>
    <row r="68" spans="1:12" customFormat="1" ht="19" customHeight="1">
      <c r="A68" s="28" t="s">
        <v>16</v>
      </c>
      <c r="B68" s="28" t="s">
        <v>37</v>
      </c>
      <c r="C68" s="31">
        <v>45491</v>
      </c>
      <c r="D68" s="32">
        <v>45491</v>
      </c>
      <c r="E68" s="28" t="s">
        <v>32</v>
      </c>
      <c r="F68" s="29" t="s">
        <v>19</v>
      </c>
      <c r="G68" s="29" t="s">
        <v>33</v>
      </c>
      <c r="H68" s="12">
        <v>3347</v>
      </c>
      <c r="I68" s="35">
        <v>0</v>
      </c>
      <c r="J68" s="12">
        <v>85607508</v>
      </c>
      <c r="K68" s="93" t="s">
        <v>77</v>
      </c>
    </row>
    <row r="69" spans="1:12" customFormat="1" ht="19" customHeight="1">
      <c r="A69" s="28" t="s">
        <v>16</v>
      </c>
      <c r="B69" s="28" t="s">
        <v>37</v>
      </c>
      <c r="C69" s="31">
        <v>45492</v>
      </c>
      <c r="D69" s="32">
        <v>45492</v>
      </c>
      <c r="E69" s="28" t="s">
        <v>32</v>
      </c>
      <c r="F69" s="29" t="s">
        <v>19</v>
      </c>
      <c r="G69" s="29" t="s">
        <v>33</v>
      </c>
      <c r="H69" s="12">
        <v>633</v>
      </c>
      <c r="I69" s="35">
        <v>0</v>
      </c>
      <c r="J69" s="12">
        <v>85608141</v>
      </c>
      <c r="K69" s="93" t="s">
        <v>78</v>
      </c>
    </row>
    <row r="70" spans="1:12" customFormat="1" ht="19" customHeight="1">
      <c r="A70" s="28" t="s">
        <v>16</v>
      </c>
      <c r="B70" s="28" t="s">
        <v>37</v>
      </c>
      <c r="C70" s="31">
        <v>45499</v>
      </c>
      <c r="D70" s="32">
        <v>45502</v>
      </c>
      <c r="E70" s="28" t="s">
        <v>22</v>
      </c>
      <c r="F70" s="29" t="s">
        <v>19</v>
      </c>
      <c r="G70" s="29" t="s">
        <v>19</v>
      </c>
      <c r="H70" s="12">
        <v>7815396</v>
      </c>
      <c r="I70" s="35">
        <v>0</v>
      </c>
      <c r="J70" s="44">
        <v>93423537</v>
      </c>
      <c r="K70" s="94" t="s">
        <v>71</v>
      </c>
    </row>
    <row r="71" spans="1:12" s="43" customFormat="1" ht="19" customHeight="1">
      <c r="A71" s="39" t="s">
        <v>16</v>
      </c>
      <c r="B71" s="39" t="s">
        <v>37</v>
      </c>
      <c r="C71" s="40">
        <v>45503</v>
      </c>
      <c r="D71" s="41">
        <v>45503</v>
      </c>
      <c r="E71" s="39" t="s">
        <v>32</v>
      </c>
      <c r="F71" s="42" t="s">
        <v>19</v>
      </c>
      <c r="G71" s="42" t="s">
        <v>33</v>
      </c>
      <c r="H71" s="18">
        <v>647</v>
      </c>
      <c r="I71" s="38">
        <v>0</v>
      </c>
      <c r="J71" s="22">
        <v>93424184</v>
      </c>
      <c r="K71" s="95" t="s">
        <v>79</v>
      </c>
      <c r="L71" s="45">
        <f>SUM(H59:I71)</f>
        <v>7886410</v>
      </c>
    </row>
    <row r="72" spans="1:12" customFormat="1" ht="19" customHeight="1">
      <c r="A72" s="28" t="s">
        <v>16</v>
      </c>
      <c r="B72" s="28" t="s">
        <v>37</v>
      </c>
      <c r="C72" s="31">
        <v>45530</v>
      </c>
      <c r="D72" s="32">
        <v>45530</v>
      </c>
      <c r="E72" s="28" t="s">
        <v>32</v>
      </c>
      <c r="F72" s="29" t="s">
        <v>19</v>
      </c>
      <c r="G72" s="29" t="s">
        <v>33</v>
      </c>
      <c r="H72" s="12">
        <v>480</v>
      </c>
      <c r="I72" s="35">
        <v>0</v>
      </c>
      <c r="J72" s="12">
        <v>93424664</v>
      </c>
      <c r="K72" s="93" t="s">
        <v>84</v>
      </c>
    </row>
    <row r="73" spans="1:12" s="43" customFormat="1" ht="19" customHeight="1">
      <c r="A73" s="39" t="s">
        <v>16</v>
      </c>
      <c r="B73" s="39" t="s">
        <v>37</v>
      </c>
      <c r="C73" s="40">
        <v>45531</v>
      </c>
      <c r="D73" s="41">
        <v>45531</v>
      </c>
      <c r="E73" s="39" t="s">
        <v>32</v>
      </c>
      <c r="F73" s="42" t="s">
        <v>19</v>
      </c>
      <c r="G73" s="42" t="s">
        <v>33</v>
      </c>
      <c r="H73" s="18">
        <v>17020</v>
      </c>
      <c r="I73" s="38">
        <v>0</v>
      </c>
      <c r="J73" s="22">
        <v>93441684</v>
      </c>
      <c r="K73" s="95" t="s">
        <v>85</v>
      </c>
      <c r="L73" s="46">
        <f>SUM(H72:I73)</f>
        <v>17500</v>
      </c>
    </row>
    <row r="74" spans="1:12" ht="17">
      <c r="A74" s="28" t="s">
        <v>16</v>
      </c>
      <c r="B74" s="28" t="s">
        <v>17</v>
      </c>
      <c r="C74" s="31">
        <v>45547</v>
      </c>
      <c r="D74" s="32">
        <v>45547</v>
      </c>
      <c r="E74" s="28" t="s">
        <v>32</v>
      </c>
      <c r="F74" s="29" t="s">
        <v>19</v>
      </c>
      <c r="G74" s="29" t="s">
        <v>33</v>
      </c>
      <c r="H74" s="12">
        <v>5007</v>
      </c>
      <c r="I74" s="35">
        <v>0</v>
      </c>
      <c r="J74" s="12">
        <v>93446691</v>
      </c>
      <c r="K74" s="93" t="s">
        <v>86</v>
      </c>
    </row>
    <row r="75" spans="1:12" ht="17">
      <c r="A75" s="28" t="s">
        <v>16</v>
      </c>
      <c r="B75" s="28" t="s">
        <v>17</v>
      </c>
      <c r="C75" s="31">
        <v>45548</v>
      </c>
      <c r="D75" s="32">
        <v>45548</v>
      </c>
      <c r="E75" s="28" t="s">
        <v>32</v>
      </c>
      <c r="F75" s="29" t="s">
        <v>19</v>
      </c>
      <c r="G75" s="29" t="s">
        <v>33</v>
      </c>
      <c r="H75" s="12">
        <v>2035</v>
      </c>
      <c r="I75" s="35">
        <v>0</v>
      </c>
      <c r="J75" s="12">
        <v>93448726</v>
      </c>
      <c r="K75" s="93" t="s">
        <v>87</v>
      </c>
    </row>
    <row r="76" spans="1:12" ht="17">
      <c r="A76" s="28" t="s">
        <v>16</v>
      </c>
      <c r="B76" s="28" t="s">
        <v>17</v>
      </c>
      <c r="C76" s="31">
        <v>45552</v>
      </c>
      <c r="D76" s="32">
        <v>45552</v>
      </c>
      <c r="E76" s="28" t="s">
        <v>32</v>
      </c>
      <c r="F76" s="29" t="s">
        <v>19</v>
      </c>
      <c r="G76" s="29" t="s">
        <v>33</v>
      </c>
      <c r="H76" s="12">
        <v>9239</v>
      </c>
      <c r="I76" s="35">
        <v>0</v>
      </c>
      <c r="J76" s="12">
        <v>93457965</v>
      </c>
      <c r="K76" s="93" t="s">
        <v>88</v>
      </c>
    </row>
    <row r="77" spans="1:12" ht="17">
      <c r="A77" s="28" t="s">
        <v>16</v>
      </c>
      <c r="B77" s="28" t="s">
        <v>17</v>
      </c>
      <c r="C77" s="31">
        <v>45553</v>
      </c>
      <c r="D77" s="32">
        <v>45553</v>
      </c>
      <c r="E77" s="28" t="s">
        <v>32</v>
      </c>
      <c r="F77" s="29" t="s">
        <v>19</v>
      </c>
      <c r="G77" s="29" t="s">
        <v>33</v>
      </c>
      <c r="H77" s="12">
        <v>9199</v>
      </c>
      <c r="I77" s="35">
        <v>0</v>
      </c>
      <c r="J77" s="12">
        <v>93467164</v>
      </c>
      <c r="K77" s="93" t="s">
        <v>89</v>
      </c>
    </row>
    <row r="78" spans="1:12" ht="17">
      <c r="A78" s="39" t="s">
        <v>16</v>
      </c>
      <c r="B78" s="39" t="s">
        <v>17</v>
      </c>
      <c r="C78" s="40">
        <v>45554</v>
      </c>
      <c r="D78" s="41">
        <v>45554</v>
      </c>
      <c r="E78" s="39" t="s">
        <v>32</v>
      </c>
      <c r="F78" s="42" t="s">
        <v>19</v>
      </c>
      <c r="G78" s="42" t="s">
        <v>33</v>
      </c>
      <c r="H78" s="18">
        <v>3824</v>
      </c>
      <c r="I78" s="38">
        <v>0</v>
      </c>
      <c r="J78" s="22">
        <v>93470988</v>
      </c>
      <c r="K78" s="95" t="s">
        <v>90</v>
      </c>
      <c r="L78" s="46">
        <f>SUM(H74:I78)</f>
        <v>29304</v>
      </c>
    </row>
    <row r="79" spans="1:12" ht="17">
      <c r="A79" s="28">
        <v>27591</v>
      </c>
      <c r="B79" s="28" t="s">
        <v>17</v>
      </c>
      <c r="C79" s="31">
        <v>45569</v>
      </c>
      <c r="D79" s="32">
        <v>45569</v>
      </c>
      <c r="E79" s="28" t="s">
        <v>32</v>
      </c>
      <c r="F79" s="29" t="s">
        <v>19</v>
      </c>
      <c r="G79" s="29">
        <v>15</v>
      </c>
      <c r="H79" s="47">
        <v>1866</v>
      </c>
      <c r="I79" s="35">
        <v>0</v>
      </c>
      <c r="J79" s="47">
        <v>93472854</v>
      </c>
      <c r="K79" s="93" t="s">
        <v>91</v>
      </c>
    </row>
    <row r="80" spans="1:12" ht="32">
      <c r="A80" s="28">
        <v>27591</v>
      </c>
      <c r="B80" s="28" t="s">
        <v>17</v>
      </c>
      <c r="C80" s="31">
        <v>45572</v>
      </c>
      <c r="D80" s="32">
        <v>45572</v>
      </c>
      <c r="E80" s="28" t="s">
        <v>32</v>
      </c>
      <c r="F80" s="29" t="s">
        <v>19</v>
      </c>
      <c r="G80" s="29">
        <v>15</v>
      </c>
      <c r="H80" s="47">
        <v>5021</v>
      </c>
      <c r="I80" s="35">
        <v>0</v>
      </c>
      <c r="J80" s="47">
        <v>93477875</v>
      </c>
      <c r="K80" s="93" t="s">
        <v>92</v>
      </c>
    </row>
    <row r="81" spans="1:12" ht="17">
      <c r="A81" s="28">
        <v>27591</v>
      </c>
      <c r="B81" s="28" t="s">
        <v>17</v>
      </c>
      <c r="C81" s="31">
        <v>45573</v>
      </c>
      <c r="D81" s="32">
        <v>45573</v>
      </c>
      <c r="E81" s="28" t="s">
        <v>32</v>
      </c>
      <c r="F81" s="29" t="s">
        <v>19</v>
      </c>
      <c r="G81" s="29">
        <v>15</v>
      </c>
      <c r="H81" s="47">
        <v>1405</v>
      </c>
      <c r="I81" s="35">
        <v>0</v>
      </c>
      <c r="J81" s="47">
        <v>93479280</v>
      </c>
      <c r="K81" s="93" t="s">
        <v>93</v>
      </c>
    </row>
    <row r="82" spans="1:12" ht="32">
      <c r="A82" s="28">
        <v>27591</v>
      </c>
      <c r="B82" s="28" t="s">
        <v>17</v>
      </c>
      <c r="C82" s="31">
        <v>45581</v>
      </c>
      <c r="D82" s="32">
        <v>45581</v>
      </c>
      <c r="E82" s="28" t="s">
        <v>32</v>
      </c>
      <c r="F82" s="29" t="s">
        <v>19</v>
      </c>
      <c r="G82" s="29">
        <v>15</v>
      </c>
      <c r="H82" s="47">
        <v>5050</v>
      </c>
      <c r="I82" s="35">
        <v>0</v>
      </c>
      <c r="J82" s="47">
        <v>93484330</v>
      </c>
      <c r="K82" s="93" t="s">
        <v>94</v>
      </c>
    </row>
    <row r="83" spans="1:12" ht="17">
      <c r="A83" s="28">
        <v>27591</v>
      </c>
      <c r="B83" s="28" t="s">
        <v>17</v>
      </c>
      <c r="C83" s="31">
        <v>45582</v>
      </c>
      <c r="D83" s="32">
        <v>45582</v>
      </c>
      <c r="E83" s="28" t="s">
        <v>32</v>
      </c>
      <c r="F83" s="29" t="s">
        <v>19</v>
      </c>
      <c r="G83" s="29">
        <v>15</v>
      </c>
      <c r="H83" s="47">
        <v>2587</v>
      </c>
      <c r="I83" s="35">
        <v>0</v>
      </c>
      <c r="J83" s="47">
        <v>93486917</v>
      </c>
      <c r="K83" s="93" t="s">
        <v>95</v>
      </c>
    </row>
    <row r="84" spans="1:12" ht="17">
      <c r="A84" s="28">
        <v>27591</v>
      </c>
      <c r="B84" s="28" t="s">
        <v>17</v>
      </c>
      <c r="C84" s="31">
        <v>45583</v>
      </c>
      <c r="D84" s="32">
        <v>45583</v>
      </c>
      <c r="E84" s="28" t="s">
        <v>32</v>
      </c>
      <c r="F84" s="29" t="s">
        <v>19</v>
      </c>
      <c r="G84" s="29">
        <v>15</v>
      </c>
      <c r="H84" s="47">
        <v>621</v>
      </c>
      <c r="I84" s="35">
        <v>0</v>
      </c>
      <c r="J84" s="47">
        <v>93487538</v>
      </c>
      <c r="K84" s="93" t="s">
        <v>96</v>
      </c>
    </row>
    <row r="85" spans="1:12" ht="17">
      <c r="A85" s="28">
        <v>27591</v>
      </c>
      <c r="B85" s="28" t="s">
        <v>17</v>
      </c>
      <c r="C85" s="31">
        <v>45586</v>
      </c>
      <c r="D85" s="32">
        <v>45586</v>
      </c>
      <c r="E85" s="28" t="s">
        <v>32</v>
      </c>
      <c r="F85" s="29" t="s">
        <v>19</v>
      </c>
      <c r="G85" s="29">
        <v>15</v>
      </c>
      <c r="H85" s="47">
        <v>3612</v>
      </c>
      <c r="I85" s="35">
        <v>0</v>
      </c>
      <c r="J85" s="47">
        <v>93491150</v>
      </c>
      <c r="K85" s="93" t="s">
        <v>97</v>
      </c>
    </row>
    <row r="86" spans="1:12" ht="17">
      <c r="A86" s="28">
        <v>27591</v>
      </c>
      <c r="B86" s="28" t="s">
        <v>17</v>
      </c>
      <c r="C86" s="31">
        <v>45587</v>
      </c>
      <c r="D86" s="32">
        <v>45587</v>
      </c>
      <c r="E86" s="28" t="s">
        <v>32</v>
      </c>
      <c r="F86" s="29" t="s">
        <v>19</v>
      </c>
      <c r="G86" s="29">
        <v>15</v>
      </c>
      <c r="H86" s="47">
        <v>2180</v>
      </c>
      <c r="I86" s="35">
        <v>0</v>
      </c>
      <c r="J86" s="47">
        <v>93493330</v>
      </c>
      <c r="K86" s="93" t="s">
        <v>98</v>
      </c>
    </row>
    <row r="87" spans="1:12" ht="17">
      <c r="A87" s="28">
        <v>27591</v>
      </c>
      <c r="B87" s="28" t="s">
        <v>17</v>
      </c>
      <c r="C87" s="31">
        <v>45589</v>
      </c>
      <c r="D87" s="32">
        <v>45589</v>
      </c>
      <c r="E87" s="28" t="s">
        <v>32</v>
      </c>
      <c r="F87" s="29" t="s">
        <v>19</v>
      </c>
      <c r="G87" s="29">
        <v>15</v>
      </c>
      <c r="H87" s="47">
        <v>844</v>
      </c>
      <c r="I87" s="35">
        <v>0</v>
      </c>
      <c r="J87" s="47">
        <v>93494174</v>
      </c>
      <c r="K87" s="93" t="s">
        <v>99</v>
      </c>
    </row>
    <row r="88" spans="1:12" ht="17">
      <c r="A88" s="28">
        <v>27591</v>
      </c>
      <c r="B88" s="28" t="s">
        <v>17</v>
      </c>
      <c r="C88" s="31">
        <v>45590</v>
      </c>
      <c r="D88" s="32">
        <v>45590</v>
      </c>
      <c r="E88" s="28" t="s">
        <v>32</v>
      </c>
      <c r="F88" s="29" t="s">
        <v>19</v>
      </c>
      <c r="G88" s="29">
        <v>15</v>
      </c>
      <c r="H88" s="47">
        <v>4156</v>
      </c>
      <c r="I88" s="35">
        <v>0</v>
      </c>
      <c r="J88" s="47">
        <v>93498330</v>
      </c>
      <c r="K88" s="93" t="s">
        <v>100</v>
      </c>
    </row>
    <row r="89" spans="1:12" ht="32">
      <c r="A89" s="28">
        <v>27591</v>
      </c>
      <c r="B89" s="28" t="s">
        <v>17</v>
      </c>
      <c r="C89" s="31">
        <v>45593</v>
      </c>
      <c r="D89" s="32">
        <v>45593</v>
      </c>
      <c r="E89" s="28" t="s">
        <v>32</v>
      </c>
      <c r="F89" s="29" t="s">
        <v>19</v>
      </c>
      <c r="G89" s="29">
        <v>15</v>
      </c>
      <c r="H89" s="47">
        <v>4968</v>
      </c>
      <c r="I89" s="35">
        <v>0</v>
      </c>
      <c r="J89" s="47">
        <v>93503298</v>
      </c>
      <c r="K89" s="93" t="s">
        <v>101</v>
      </c>
    </row>
    <row r="90" spans="1:12" ht="32">
      <c r="A90" s="39">
        <v>27591</v>
      </c>
      <c r="B90" s="39" t="s">
        <v>17</v>
      </c>
      <c r="C90" s="40">
        <v>45594</v>
      </c>
      <c r="D90" s="41">
        <v>45594</v>
      </c>
      <c r="E90" s="39" t="s">
        <v>32</v>
      </c>
      <c r="F90" s="42" t="s">
        <v>19</v>
      </c>
      <c r="G90" s="42">
        <v>15</v>
      </c>
      <c r="H90" s="48">
        <v>4810</v>
      </c>
      <c r="I90" s="38">
        <v>0</v>
      </c>
      <c r="J90" s="48">
        <v>93508108</v>
      </c>
      <c r="K90" s="95" t="s">
        <v>102</v>
      </c>
      <c r="L90" s="46">
        <f>SUM(H79:I90)</f>
        <v>37120</v>
      </c>
    </row>
    <row r="91" spans="1:12" ht="17">
      <c r="A91" s="28" t="s">
        <v>16</v>
      </c>
      <c r="B91" s="28" t="s">
        <v>103</v>
      </c>
      <c r="C91" s="31">
        <v>45597</v>
      </c>
      <c r="D91" s="32">
        <v>45597</v>
      </c>
      <c r="E91" s="28" t="s">
        <v>32</v>
      </c>
      <c r="F91" s="29" t="s">
        <v>19</v>
      </c>
      <c r="G91" s="29" t="s">
        <v>33</v>
      </c>
      <c r="H91" s="47">
        <v>3100</v>
      </c>
      <c r="I91" s="35">
        <v>0</v>
      </c>
      <c r="J91" s="47">
        <v>93511208</v>
      </c>
      <c r="K91" s="49" t="s">
        <v>111</v>
      </c>
    </row>
    <row r="92" spans="1:12" ht="17">
      <c r="A92" s="28" t="s">
        <v>16</v>
      </c>
      <c r="B92" s="28" t="s">
        <v>103</v>
      </c>
      <c r="C92" s="31">
        <v>45600</v>
      </c>
      <c r="D92" s="32">
        <v>45600</v>
      </c>
      <c r="E92" s="28" t="s">
        <v>32</v>
      </c>
      <c r="F92" s="29" t="s">
        <v>19</v>
      </c>
      <c r="G92" s="29" t="s">
        <v>33</v>
      </c>
      <c r="H92" s="47">
        <v>3200</v>
      </c>
      <c r="I92" s="35">
        <v>0</v>
      </c>
      <c r="J92" s="47">
        <v>93514408</v>
      </c>
      <c r="K92" s="49" t="s">
        <v>104</v>
      </c>
    </row>
    <row r="93" spans="1:12" ht="17">
      <c r="A93" s="28" t="s">
        <v>16</v>
      </c>
      <c r="B93" s="28" t="s">
        <v>103</v>
      </c>
      <c r="C93" s="31">
        <v>45601</v>
      </c>
      <c r="D93" s="32">
        <v>45601</v>
      </c>
      <c r="E93" s="28" t="s">
        <v>32</v>
      </c>
      <c r="F93" s="29" t="s">
        <v>19</v>
      </c>
      <c r="G93" s="29" t="s">
        <v>33</v>
      </c>
      <c r="H93" s="47">
        <v>1922</v>
      </c>
      <c r="I93" s="35">
        <v>0</v>
      </c>
      <c r="J93" s="47">
        <v>93516330</v>
      </c>
      <c r="K93" s="49" t="s">
        <v>105</v>
      </c>
    </row>
    <row r="94" spans="1:12" ht="17">
      <c r="A94" s="28" t="s">
        <v>16</v>
      </c>
      <c r="B94" s="28" t="s">
        <v>103</v>
      </c>
      <c r="C94" s="31">
        <v>45602</v>
      </c>
      <c r="D94" s="32">
        <v>45602</v>
      </c>
      <c r="E94" s="28" t="s">
        <v>32</v>
      </c>
      <c r="F94" s="29" t="s">
        <v>19</v>
      </c>
      <c r="G94" s="29" t="s">
        <v>33</v>
      </c>
      <c r="H94" s="47">
        <v>1000</v>
      </c>
      <c r="I94" s="35">
        <v>0</v>
      </c>
      <c r="J94" s="47">
        <v>93517330</v>
      </c>
      <c r="K94" s="49" t="s">
        <v>106</v>
      </c>
    </row>
    <row r="95" spans="1:12" ht="17">
      <c r="A95" s="28" t="s">
        <v>16</v>
      </c>
      <c r="B95" s="28" t="s">
        <v>103</v>
      </c>
      <c r="C95" s="31">
        <v>45603</v>
      </c>
      <c r="D95" s="32">
        <v>45603</v>
      </c>
      <c r="E95" s="28" t="s">
        <v>32</v>
      </c>
      <c r="F95" s="29" t="s">
        <v>19</v>
      </c>
      <c r="G95" s="29" t="s">
        <v>33</v>
      </c>
      <c r="H95" s="47">
        <v>3000</v>
      </c>
      <c r="I95" s="35">
        <v>0</v>
      </c>
      <c r="J95" s="47">
        <v>93520330</v>
      </c>
      <c r="K95" s="49" t="s">
        <v>107</v>
      </c>
    </row>
    <row r="96" spans="1:12" ht="17">
      <c r="A96" s="28" t="s">
        <v>16</v>
      </c>
      <c r="B96" s="28" t="s">
        <v>103</v>
      </c>
      <c r="C96" s="31">
        <v>45604</v>
      </c>
      <c r="D96" s="32">
        <v>45604</v>
      </c>
      <c r="E96" s="28" t="s">
        <v>32</v>
      </c>
      <c r="F96" s="29" t="s">
        <v>19</v>
      </c>
      <c r="G96" s="29" t="s">
        <v>33</v>
      </c>
      <c r="H96" s="47">
        <v>1104</v>
      </c>
      <c r="I96" s="35">
        <v>0</v>
      </c>
      <c r="J96" s="47">
        <v>93521434</v>
      </c>
      <c r="K96" s="49" t="s">
        <v>108</v>
      </c>
    </row>
    <row r="97" spans="1:12" ht="17">
      <c r="A97" s="28" t="s">
        <v>16</v>
      </c>
      <c r="B97" s="28" t="s">
        <v>103</v>
      </c>
      <c r="C97" s="31">
        <v>45608</v>
      </c>
      <c r="D97" s="32">
        <v>45608</v>
      </c>
      <c r="E97" s="28" t="s">
        <v>32</v>
      </c>
      <c r="F97" s="29" t="s">
        <v>19</v>
      </c>
      <c r="G97" s="29" t="s">
        <v>33</v>
      </c>
      <c r="H97" s="47">
        <v>8896</v>
      </c>
      <c r="I97" s="35">
        <v>0</v>
      </c>
      <c r="J97" s="47">
        <v>93530330</v>
      </c>
      <c r="K97" s="49" t="s">
        <v>109</v>
      </c>
    </row>
    <row r="98" spans="1:12" ht="17">
      <c r="A98" s="39" t="s">
        <v>16</v>
      </c>
      <c r="B98" s="39" t="s">
        <v>103</v>
      </c>
      <c r="C98" s="40">
        <v>45609</v>
      </c>
      <c r="D98" s="41">
        <v>45609</v>
      </c>
      <c r="E98" s="39" t="s">
        <v>32</v>
      </c>
      <c r="F98" s="42" t="s">
        <v>19</v>
      </c>
      <c r="G98" s="42" t="s">
        <v>33</v>
      </c>
      <c r="H98" s="48">
        <v>1845</v>
      </c>
      <c r="I98" s="38">
        <v>0</v>
      </c>
      <c r="J98" s="48">
        <v>93532175</v>
      </c>
      <c r="K98" s="50" t="s">
        <v>110</v>
      </c>
      <c r="L98" s="46">
        <f>SUM(H91:H98)</f>
        <v>24067</v>
      </c>
    </row>
    <row r="99" spans="1:12" ht="17">
      <c r="A99" s="52" t="s">
        <v>16</v>
      </c>
      <c r="B99" s="28" t="s">
        <v>103</v>
      </c>
      <c r="C99" s="31">
        <v>45632</v>
      </c>
      <c r="D99" s="32">
        <v>45632</v>
      </c>
      <c r="E99" s="52" t="s">
        <v>32</v>
      </c>
      <c r="F99" s="58" t="s">
        <v>19</v>
      </c>
      <c r="G99" s="58" t="s">
        <v>112</v>
      </c>
      <c r="H99" s="59">
        <v>6300</v>
      </c>
      <c r="I99" s="60">
        <v>0</v>
      </c>
      <c r="J99" s="61">
        <v>93538475</v>
      </c>
      <c r="K99" s="49" t="s">
        <v>113</v>
      </c>
    </row>
    <row r="100" spans="1:12" ht="17">
      <c r="A100" s="52" t="s">
        <v>16</v>
      </c>
      <c r="B100" s="28" t="s">
        <v>103</v>
      </c>
      <c r="C100" s="31">
        <v>45632</v>
      </c>
      <c r="D100" s="32">
        <v>45632</v>
      </c>
      <c r="E100" s="52" t="s">
        <v>32</v>
      </c>
      <c r="F100" s="58" t="s">
        <v>19</v>
      </c>
      <c r="G100" s="58" t="s">
        <v>112</v>
      </c>
      <c r="H100" s="59">
        <v>4649</v>
      </c>
      <c r="I100" s="60">
        <v>0</v>
      </c>
      <c r="J100" s="61">
        <v>93543124</v>
      </c>
      <c r="K100" s="49" t="s">
        <v>113</v>
      </c>
    </row>
    <row r="101" spans="1:12" ht="17">
      <c r="A101" s="52" t="s">
        <v>16</v>
      </c>
      <c r="B101" s="28" t="s">
        <v>103</v>
      </c>
      <c r="C101" s="31">
        <v>45635</v>
      </c>
      <c r="D101" s="32">
        <v>45635</v>
      </c>
      <c r="E101" s="52" t="s">
        <v>32</v>
      </c>
      <c r="F101" s="58" t="s">
        <v>19</v>
      </c>
      <c r="G101" s="58" t="s">
        <v>112</v>
      </c>
      <c r="H101" s="59">
        <v>19065</v>
      </c>
      <c r="I101" s="60">
        <v>0</v>
      </c>
      <c r="J101" s="61">
        <v>93562189</v>
      </c>
      <c r="K101" s="49" t="s">
        <v>113</v>
      </c>
    </row>
    <row r="102" spans="1:12" ht="17">
      <c r="A102" s="52" t="s">
        <v>16</v>
      </c>
      <c r="B102" s="28" t="s">
        <v>103</v>
      </c>
      <c r="C102" s="31">
        <v>45636</v>
      </c>
      <c r="D102" s="32">
        <v>45636</v>
      </c>
      <c r="E102" s="52" t="s">
        <v>32</v>
      </c>
      <c r="F102" s="58" t="s">
        <v>19</v>
      </c>
      <c r="G102" s="58" t="s">
        <v>112</v>
      </c>
      <c r="H102" s="59">
        <v>6986</v>
      </c>
      <c r="I102" s="60">
        <v>0</v>
      </c>
      <c r="J102" s="61">
        <v>93569175</v>
      </c>
      <c r="K102" s="49" t="s">
        <v>113</v>
      </c>
    </row>
    <row r="103" spans="1:12" ht="17">
      <c r="A103" s="52" t="s">
        <v>16</v>
      </c>
      <c r="B103" s="28" t="s">
        <v>103</v>
      </c>
      <c r="C103" s="31">
        <v>45637</v>
      </c>
      <c r="D103" s="32">
        <v>45637</v>
      </c>
      <c r="E103" s="52" t="s">
        <v>32</v>
      </c>
      <c r="F103" s="58" t="s">
        <v>19</v>
      </c>
      <c r="G103" s="58" t="s">
        <v>33</v>
      </c>
      <c r="H103" s="59">
        <v>2000</v>
      </c>
      <c r="I103" s="60">
        <v>0</v>
      </c>
      <c r="J103" s="61">
        <v>93571175</v>
      </c>
      <c r="K103" s="49" t="s">
        <v>114</v>
      </c>
    </row>
    <row r="104" spans="1:12" ht="17">
      <c r="A104" s="52" t="s">
        <v>16</v>
      </c>
      <c r="B104" s="28" t="s">
        <v>103</v>
      </c>
      <c r="C104" s="31">
        <v>45637</v>
      </c>
      <c r="D104" s="32">
        <v>45637</v>
      </c>
      <c r="E104" s="52" t="s">
        <v>32</v>
      </c>
      <c r="F104" s="58" t="s">
        <v>19</v>
      </c>
      <c r="G104" s="58" t="s">
        <v>112</v>
      </c>
      <c r="H104" s="59">
        <v>12249</v>
      </c>
      <c r="I104" s="60">
        <v>0</v>
      </c>
      <c r="J104" s="61">
        <v>93583424</v>
      </c>
      <c r="K104" s="49" t="s">
        <v>113</v>
      </c>
    </row>
    <row r="105" spans="1:12" ht="17">
      <c r="A105" s="52" t="s">
        <v>16</v>
      </c>
      <c r="B105" s="28" t="s">
        <v>103</v>
      </c>
      <c r="C105" s="31">
        <v>45638</v>
      </c>
      <c r="D105" s="32">
        <v>45638</v>
      </c>
      <c r="E105" s="52" t="s">
        <v>32</v>
      </c>
      <c r="F105" s="58" t="s">
        <v>19</v>
      </c>
      <c r="G105" s="58" t="s">
        <v>112</v>
      </c>
      <c r="H105" s="59">
        <v>700</v>
      </c>
      <c r="I105" s="60">
        <v>0</v>
      </c>
      <c r="J105" s="61">
        <v>93584124</v>
      </c>
      <c r="K105" s="49" t="s">
        <v>113</v>
      </c>
    </row>
    <row r="106" spans="1:12" ht="17">
      <c r="A106" s="52" t="s">
        <v>16</v>
      </c>
      <c r="B106" s="28" t="s">
        <v>103</v>
      </c>
      <c r="C106" s="31">
        <v>45639</v>
      </c>
      <c r="D106" s="32">
        <v>45639</v>
      </c>
      <c r="E106" s="52" t="s">
        <v>32</v>
      </c>
      <c r="F106" s="58" t="s">
        <v>19</v>
      </c>
      <c r="G106" s="58" t="s">
        <v>112</v>
      </c>
      <c r="H106" s="59">
        <v>8174</v>
      </c>
      <c r="I106" s="60">
        <v>0</v>
      </c>
      <c r="J106" s="61">
        <v>93592298</v>
      </c>
      <c r="K106" s="49" t="s">
        <v>113</v>
      </c>
    </row>
    <row r="107" spans="1:12" ht="17">
      <c r="A107" s="52" t="s">
        <v>16</v>
      </c>
      <c r="B107" s="28" t="s">
        <v>103</v>
      </c>
      <c r="C107" s="31">
        <v>45642</v>
      </c>
      <c r="D107" s="32">
        <v>45642</v>
      </c>
      <c r="E107" s="52" t="s">
        <v>32</v>
      </c>
      <c r="F107" s="58" t="s">
        <v>19</v>
      </c>
      <c r="G107" s="58" t="s">
        <v>112</v>
      </c>
      <c r="H107" s="59">
        <v>728</v>
      </c>
      <c r="I107" s="60">
        <v>0</v>
      </c>
      <c r="J107" s="61">
        <v>93593026</v>
      </c>
      <c r="K107" s="49" t="s">
        <v>113</v>
      </c>
    </row>
    <row r="108" spans="1:12" ht="17">
      <c r="A108" s="52" t="s">
        <v>16</v>
      </c>
      <c r="B108" s="28" t="s">
        <v>103</v>
      </c>
      <c r="C108" s="31">
        <v>45643</v>
      </c>
      <c r="D108" s="32">
        <v>45643</v>
      </c>
      <c r="E108" s="52" t="s">
        <v>32</v>
      </c>
      <c r="F108" s="58" t="s">
        <v>19</v>
      </c>
      <c r="G108" s="58" t="s">
        <v>33</v>
      </c>
      <c r="H108" s="59">
        <v>8000</v>
      </c>
      <c r="I108" s="60">
        <v>0</v>
      </c>
      <c r="J108" s="61">
        <v>93601026</v>
      </c>
      <c r="K108" s="49" t="s">
        <v>115</v>
      </c>
    </row>
    <row r="109" spans="1:12" ht="17">
      <c r="A109" s="53" t="s">
        <v>16</v>
      </c>
      <c r="B109" s="39" t="s">
        <v>103</v>
      </c>
      <c r="C109" s="40">
        <v>45644</v>
      </c>
      <c r="D109" s="41">
        <v>45644</v>
      </c>
      <c r="E109" s="53" t="s">
        <v>32</v>
      </c>
      <c r="F109" s="62" t="s">
        <v>19</v>
      </c>
      <c r="G109" s="62" t="s">
        <v>112</v>
      </c>
      <c r="H109" s="63">
        <v>11416</v>
      </c>
      <c r="I109" s="64">
        <v>0</v>
      </c>
      <c r="J109" s="65">
        <v>93612442</v>
      </c>
      <c r="K109" s="50" t="s">
        <v>113</v>
      </c>
      <c r="L109" s="46">
        <f>SUM(H99:H109)</f>
        <v>80267</v>
      </c>
    </row>
    <row r="110" spans="1:12" ht="17">
      <c r="A110" s="54" t="s">
        <v>16</v>
      </c>
      <c r="B110" s="54" t="s">
        <v>103</v>
      </c>
      <c r="C110" s="55">
        <v>45741</v>
      </c>
      <c r="D110" s="56">
        <v>45741</v>
      </c>
      <c r="E110" s="54" t="s">
        <v>32</v>
      </c>
      <c r="F110" s="66" t="s">
        <v>19</v>
      </c>
      <c r="G110" s="67" t="s">
        <v>112</v>
      </c>
      <c r="H110" s="63">
        <v>54734</v>
      </c>
      <c r="I110" s="68">
        <v>0</v>
      </c>
      <c r="J110" s="69">
        <v>93667176</v>
      </c>
      <c r="K110" s="57" t="s">
        <v>113</v>
      </c>
      <c r="L110" s="46">
        <f>H110</f>
        <v>54734</v>
      </c>
    </row>
    <row r="111" spans="1:12" ht="17">
      <c r="A111" s="70" t="s">
        <v>16</v>
      </c>
      <c r="B111" s="70" t="s">
        <v>103</v>
      </c>
      <c r="C111" s="71">
        <v>45748</v>
      </c>
      <c r="D111" s="80">
        <v>45748</v>
      </c>
      <c r="E111" s="70" t="s">
        <v>32</v>
      </c>
      <c r="F111" s="76" t="s">
        <v>19</v>
      </c>
      <c r="G111" s="72" t="s">
        <v>33</v>
      </c>
      <c r="H111" s="78">
        <v>75426</v>
      </c>
      <c r="I111" s="60">
        <v>0</v>
      </c>
      <c r="J111" s="78">
        <v>93742602</v>
      </c>
      <c r="K111" s="73" t="s">
        <v>117</v>
      </c>
      <c r="L111" s="74"/>
    </row>
    <row r="112" spans="1:12" ht="17">
      <c r="A112" s="39" t="s">
        <v>16</v>
      </c>
      <c r="B112" s="39" t="s">
        <v>103</v>
      </c>
      <c r="C112" s="40">
        <v>45768</v>
      </c>
      <c r="D112" s="41">
        <v>45768</v>
      </c>
      <c r="E112" s="39" t="s">
        <v>32</v>
      </c>
      <c r="F112" s="77" t="s">
        <v>19</v>
      </c>
      <c r="G112" s="75" t="s">
        <v>33</v>
      </c>
      <c r="H112" s="65">
        <v>15000</v>
      </c>
      <c r="I112" s="64">
        <v>0</v>
      </c>
      <c r="J112" s="65">
        <v>93757602</v>
      </c>
      <c r="K112" s="50" t="s">
        <v>116</v>
      </c>
      <c r="L112" s="79">
        <f>SUM(H111:H112)</f>
        <v>90426</v>
      </c>
    </row>
    <row r="113" spans="1:12" ht="17">
      <c r="A113" s="28" t="s">
        <v>16</v>
      </c>
      <c r="B113" s="28" t="s">
        <v>17</v>
      </c>
      <c r="C113" s="31">
        <v>45804</v>
      </c>
      <c r="D113" s="32">
        <v>45804</v>
      </c>
      <c r="E113" s="28" t="s">
        <v>118</v>
      </c>
      <c r="F113" s="51" t="s">
        <v>19</v>
      </c>
      <c r="G113" s="29" t="s">
        <v>19</v>
      </c>
      <c r="H113" s="61">
        <v>2222222</v>
      </c>
      <c r="I113" s="60">
        <v>0</v>
      </c>
      <c r="J113" s="61">
        <v>95979824</v>
      </c>
      <c r="K113" s="49" t="s">
        <v>119</v>
      </c>
    </row>
    <row r="114" spans="1:12" ht="17">
      <c r="A114" s="39" t="s">
        <v>16</v>
      </c>
      <c r="B114" s="39" t="s">
        <v>17</v>
      </c>
      <c r="C114" s="40">
        <v>45806</v>
      </c>
      <c r="D114" s="41">
        <v>45806</v>
      </c>
      <c r="E114" s="39" t="s">
        <v>118</v>
      </c>
      <c r="F114" s="81" t="s">
        <v>19</v>
      </c>
      <c r="G114" s="42" t="s">
        <v>19</v>
      </c>
      <c r="H114" s="65">
        <v>333333</v>
      </c>
      <c r="I114" s="64">
        <v>0</v>
      </c>
      <c r="J114" s="65">
        <v>96313157</v>
      </c>
      <c r="K114" s="50" t="s">
        <v>120</v>
      </c>
      <c r="L114" s="79">
        <f>SUM(H113:H114)</f>
        <v>2555555</v>
      </c>
    </row>
    <row r="115" spans="1:12" ht="17">
      <c r="A115" s="28" t="s">
        <v>16</v>
      </c>
      <c r="B115" s="28" t="s">
        <v>17</v>
      </c>
      <c r="C115" s="31">
        <v>45895</v>
      </c>
      <c r="D115" s="32">
        <v>45895</v>
      </c>
      <c r="E115" s="28" t="s">
        <v>32</v>
      </c>
      <c r="F115" s="51" t="s">
        <v>19</v>
      </c>
      <c r="G115" s="29" t="s">
        <v>33</v>
      </c>
      <c r="H115" s="83">
        <v>5000</v>
      </c>
      <c r="I115" s="60">
        <v>0</v>
      </c>
      <c r="J115" s="61">
        <v>96318157</v>
      </c>
      <c r="K115" s="73" t="s">
        <v>121</v>
      </c>
    </row>
    <row r="116" spans="1:12" ht="17">
      <c r="A116" s="28" t="s">
        <v>16</v>
      </c>
      <c r="B116" s="28" t="s">
        <v>17</v>
      </c>
      <c r="C116" s="31">
        <v>45897</v>
      </c>
      <c r="D116" s="32">
        <v>45897</v>
      </c>
      <c r="E116" s="28" t="s">
        <v>32</v>
      </c>
      <c r="F116" s="58" t="s">
        <v>19</v>
      </c>
      <c r="G116" s="29" t="s">
        <v>33</v>
      </c>
      <c r="H116" s="83">
        <v>5000</v>
      </c>
      <c r="I116" s="60">
        <v>0</v>
      </c>
      <c r="J116" s="61">
        <v>96323157</v>
      </c>
      <c r="K116" s="49" t="s">
        <v>123</v>
      </c>
    </row>
    <row r="117" spans="1:12" ht="17">
      <c r="A117" s="39" t="s">
        <v>16</v>
      </c>
      <c r="B117" s="39" t="s">
        <v>17</v>
      </c>
      <c r="C117" s="40">
        <v>45898</v>
      </c>
      <c r="D117" s="41">
        <v>45898</v>
      </c>
      <c r="E117" s="39" t="s">
        <v>32</v>
      </c>
      <c r="F117" s="62" t="s">
        <v>19</v>
      </c>
      <c r="G117" s="42" t="s">
        <v>33</v>
      </c>
      <c r="H117" s="84">
        <v>5000</v>
      </c>
      <c r="I117" s="64">
        <v>0</v>
      </c>
      <c r="J117" s="65">
        <v>96328157</v>
      </c>
      <c r="K117" s="50" t="s">
        <v>122</v>
      </c>
      <c r="L117" s="79">
        <f>SUM(H115:H117)</f>
        <v>15000</v>
      </c>
    </row>
    <row r="118" spans="1:12" ht="17">
      <c r="A118" s="54" t="s">
        <v>16</v>
      </c>
      <c r="B118" s="54" t="s">
        <v>17</v>
      </c>
      <c r="C118" s="55">
        <v>45902</v>
      </c>
      <c r="D118" s="56">
        <v>45902</v>
      </c>
      <c r="E118" s="54" t="s">
        <v>32</v>
      </c>
      <c r="F118" s="85" t="s">
        <v>19</v>
      </c>
      <c r="G118" s="85" t="s">
        <v>33</v>
      </c>
      <c r="H118" s="86">
        <v>5000</v>
      </c>
      <c r="I118" s="68">
        <v>0</v>
      </c>
      <c r="J118" s="69">
        <v>96333157</v>
      </c>
      <c r="K118" s="57" t="s">
        <v>124</v>
      </c>
      <c r="L118" s="87">
        <f>H118</f>
        <v>5000</v>
      </c>
    </row>
    <row r="119" spans="1:12" ht="17">
      <c r="A119" s="54" t="s">
        <v>16</v>
      </c>
      <c r="B119" s="54" t="s">
        <v>17</v>
      </c>
      <c r="C119" s="55">
        <v>45994</v>
      </c>
      <c r="D119" s="56">
        <v>46001</v>
      </c>
      <c r="E119" s="54" t="s">
        <v>22</v>
      </c>
      <c r="F119" s="85" t="s">
        <v>19</v>
      </c>
      <c r="G119" s="85" t="s">
        <v>19</v>
      </c>
      <c r="H119" s="86">
        <v>568797</v>
      </c>
      <c r="I119" s="68">
        <v>0</v>
      </c>
      <c r="J119" s="69">
        <v>96901954</v>
      </c>
      <c r="K119" s="57" t="s">
        <v>125</v>
      </c>
      <c r="L119" s="87">
        <f>H119</f>
        <v>568797</v>
      </c>
    </row>
    <row r="120" spans="1:12" ht="17">
      <c r="A120" s="54" t="s">
        <v>16</v>
      </c>
      <c r="B120" s="54" t="s">
        <v>17</v>
      </c>
      <c r="C120" s="55">
        <v>46042</v>
      </c>
      <c r="D120" s="56">
        <v>46049</v>
      </c>
      <c r="E120" s="85" t="s">
        <v>127</v>
      </c>
      <c r="F120" s="85"/>
      <c r="G120" s="85" t="s">
        <v>126</v>
      </c>
      <c r="H120" s="86">
        <v>61657</v>
      </c>
      <c r="I120" s="68"/>
      <c r="J120" s="69">
        <v>96963611</v>
      </c>
      <c r="K120" s="57" t="s">
        <v>125</v>
      </c>
      <c r="L120" s="87">
        <v>61657</v>
      </c>
    </row>
    <row r="121" spans="1:12" ht="17">
      <c r="A121" s="54" t="s">
        <v>16</v>
      </c>
      <c r="B121" s="54" t="s">
        <v>17</v>
      </c>
      <c r="C121" s="55">
        <v>46098</v>
      </c>
      <c r="D121" s="56">
        <v>46100</v>
      </c>
      <c r="E121" s="85" t="s">
        <v>22</v>
      </c>
      <c r="F121" s="85" t="s">
        <v>19</v>
      </c>
      <c r="G121" s="85" t="s">
        <v>19</v>
      </c>
      <c r="H121" s="86">
        <v>30390</v>
      </c>
      <c r="I121" s="68">
        <v>0</v>
      </c>
      <c r="J121" s="69">
        <v>96994001</v>
      </c>
      <c r="K121" s="57" t="s">
        <v>129</v>
      </c>
      <c r="L121" s="88">
        <f>H121</f>
        <v>30390</v>
      </c>
    </row>
    <row r="122" spans="1:12" ht="16">
      <c r="A122" s="89" t="s">
        <v>16</v>
      </c>
      <c r="B122" s="89" t="s">
        <v>17</v>
      </c>
      <c r="C122" s="90">
        <v>46136</v>
      </c>
      <c r="D122" s="91">
        <v>46141</v>
      </c>
      <c r="E122" s="89" t="s">
        <v>22</v>
      </c>
      <c r="F122" s="92" t="s">
        <v>19</v>
      </c>
      <c r="G122" s="92" t="s">
        <v>19</v>
      </c>
      <c r="H122" s="65">
        <v>34321</v>
      </c>
      <c r="I122" s="65">
        <v>0</v>
      </c>
      <c r="J122" s="65">
        <v>97028322</v>
      </c>
      <c r="K122" s="89" t="s">
        <v>129</v>
      </c>
      <c r="L122" s="88">
        <f>H122</f>
        <v>34321</v>
      </c>
    </row>
    <row r="123" spans="1:12" ht="17">
      <c r="A123" s="70" t="s">
        <v>16</v>
      </c>
      <c r="B123" s="70" t="s">
        <v>17</v>
      </c>
      <c r="C123" s="71">
        <v>46146</v>
      </c>
      <c r="D123" s="80">
        <v>46157</v>
      </c>
      <c r="E123" s="70" t="s">
        <v>133</v>
      </c>
      <c r="F123" s="76" t="s">
        <v>19</v>
      </c>
      <c r="G123" s="72" t="s">
        <v>19</v>
      </c>
      <c r="H123" s="78">
        <v>14450527</v>
      </c>
      <c r="I123" s="60">
        <v>0</v>
      </c>
      <c r="J123" s="78">
        <v>111478849</v>
      </c>
      <c r="K123" s="73" t="s">
        <v>19</v>
      </c>
      <c r="L123" s="74"/>
    </row>
    <row r="124" spans="1:12" ht="17">
      <c r="A124" s="39" t="s">
        <v>16</v>
      </c>
      <c r="B124" s="39" t="s">
        <v>17</v>
      </c>
      <c r="C124" s="40">
        <v>46171</v>
      </c>
      <c r="D124" s="41">
        <v>46171</v>
      </c>
      <c r="E124" s="39" t="s">
        <v>32</v>
      </c>
      <c r="F124" s="77" t="s">
        <v>19</v>
      </c>
      <c r="G124" s="75" t="s">
        <v>33</v>
      </c>
      <c r="H124" s="65">
        <v>10000</v>
      </c>
      <c r="I124" s="64">
        <v>0</v>
      </c>
      <c r="J124" s="65">
        <v>111488849</v>
      </c>
      <c r="K124" s="50" t="s">
        <v>134</v>
      </c>
      <c r="L124" s="79">
        <f>J124-J122</f>
        <v>14460527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 Control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Jones</dc:creator>
  <cp:lastModifiedBy>JYXC-DZ-0101035</cp:lastModifiedBy>
  <dcterms:created xsi:type="dcterms:W3CDTF">2024-06-28T19:28:42Z</dcterms:created>
  <dcterms:modified xsi:type="dcterms:W3CDTF">2026-06-29T12:37:53Z</dcterms:modified>
</cp:coreProperties>
</file>